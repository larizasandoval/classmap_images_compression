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lcor\Documents\Master thesis\code\analisis\"/>
    </mc:Choice>
  </mc:AlternateContent>
  <xr:revisionPtr revIDLastSave="0" documentId="13_ncr:1_{F6FE4BA1-C95A-4111-9CF1-49C3DFAA3E9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Hoja1" sheetId="2" r:id="rId2"/>
    <sheet name="persistence_LosslessExperiment " sheetId="5" r:id="rId3"/>
    <sheet name="Hoja4" sheetId="7" r:id="rId4"/>
    <sheet name="Hoja3" sheetId="6" r:id="rId5"/>
  </sheets>
  <definedNames>
    <definedName name="_xlnm._FilterDatabase" localSheetId="3" hidden="1">Hoja4!$A$1:$B$47</definedName>
    <definedName name="DatosExternos_1" localSheetId="2" hidden="1">'persistence_LosslessExperiment '!$A$1:$T$47</definedName>
  </definedNames>
  <calcPr calcId="191029"/>
  <pivotCaches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2" i="1"/>
  <c r="N3" i="1"/>
  <c r="N4" i="1"/>
  <c r="N5" i="1"/>
  <c r="N6" i="1"/>
  <c r="N2" i="1"/>
  <c r="M3" i="1"/>
  <c r="M4" i="1"/>
  <c r="M5" i="1"/>
  <c r="M6" i="1"/>
  <c r="M2" i="1"/>
  <c r="J15" i="2"/>
  <c r="G15" i="2"/>
  <c r="J14" i="2"/>
  <c r="G14" i="2"/>
  <c r="J13" i="2"/>
  <c r="G13" i="2"/>
  <c r="J12" i="2"/>
  <c r="G12" i="2"/>
  <c r="J11" i="2"/>
  <c r="G11" i="2"/>
  <c r="J4" i="2"/>
  <c r="J5" i="2"/>
  <c r="J6" i="2"/>
  <c r="J7" i="2"/>
  <c r="D3" i="2"/>
  <c r="J3" i="2"/>
  <c r="G4" i="2"/>
  <c r="G5" i="2"/>
  <c r="G6" i="2"/>
  <c r="G7" i="2"/>
  <c r="G3" i="2"/>
  <c r="D7" i="2"/>
  <c r="D4" i="2"/>
  <c r="D5" i="2"/>
  <c r="D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00AF20-E163-4FD5-AD91-84EBC92615C1}" keepAlive="1" name="Consulta - persistence_LosslessExperiment" description="Conexión a la consulta 'persistence_LosslessExperiment' en el libro." type="5" refreshedVersion="0" background="1">
    <dbPr connection="Provider=Microsoft.Mashup.OleDb.1;Data Source=$Workbook$;Location=persistence_LosslessExperiment;Extended Properties=&quot;&quot;" command="SELECT * FROM [persistence_LosslessExperiment]"/>
  </connection>
  <connection id="2" xr16:uid="{C9FA03A5-2E4F-4F4E-BE01-349E2BC5B4A4}" keepAlive="1" name="Consulta - persistence_LosslessExperiment (2)" description="Conexión a la consulta 'persistence_LosslessExperiment (2)' en el libro." type="5" refreshedVersion="8" background="1" saveData="1">
    <dbPr connection="Provider=Microsoft.Mashup.OleDb.1;Data Source=$Workbook$;Location=&quot;persistence_LosslessExperiment (2)&quot;;Extended Properties=&quot;&quot;" command="SELECT * FROM [persistence_LosslessExperiment (2)]"/>
  </connection>
</connections>
</file>

<file path=xl/sharedStrings.xml><?xml version="1.0" encoding="utf-8"?>
<sst xmlns="http://schemas.openxmlformats.org/spreadsheetml/2006/main" count="460" uniqueCount="138">
  <si>
    <t>n_clases</t>
  </si>
  <si>
    <t>H_img</t>
  </si>
  <si>
    <t>H_seq</t>
  </si>
  <si>
    <t>H_bits</t>
  </si>
  <si>
    <t>H_bits_cxt</t>
  </si>
  <si>
    <t>Exp_bit_rate_only_bits</t>
  </si>
  <si>
    <t>Exp_bit_rate</t>
  </si>
  <si>
    <t>Exp_bit_rate_bits</t>
  </si>
  <si>
    <t>Exp_bit_rate_raw</t>
  </si>
  <si>
    <t>bit_rate_final</t>
  </si>
  <si>
    <t>bit_rate_bits</t>
  </si>
  <si>
    <t>bit_rate_raw</t>
  </si>
  <si>
    <t>4_preguntas</t>
  </si>
  <si>
    <t>2_preguntas</t>
  </si>
  <si>
    <t xml:space="preserve"> data rate decision bits (bps)</t>
  </si>
  <si>
    <t>data rate raw values (bps)</t>
  </si>
  <si>
    <t>% valores crudos</t>
  </si>
  <si>
    <t>diff</t>
  </si>
  <si>
    <t>dif</t>
  </si>
  <si>
    <t>file_path</t>
  </si>
  <si>
    <t>task_label</t>
  </si>
  <si>
    <t>param_dict</t>
  </si>
  <si>
    <t>family_label</t>
  </si>
  <si>
    <t>compressed_size_bytes</t>
  </si>
  <si>
    <t>compression_ratio</t>
  </si>
  <si>
    <t>lossless_reconstruction</t>
  </si>
  <si>
    <t>compression_time_seconds</t>
  </si>
  <si>
    <t>decompression_time_seconds</t>
  </si>
  <si>
    <t>repetitions</t>
  </si>
  <si>
    <t>bpppc</t>
  </si>
  <si>
    <t>compression_ratio_dr</t>
  </si>
  <si>
    <t>compression_efficiency_1byte_entropy</t>
  </si>
  <si>
    <t>compression_efficiency_2byte_entropy</t>
  </si>
  <si>
    <t>compression_efficiency_4byte_entropy</t>
  </si>
  <si>
    <t>row_created</t>
  </si>
  <si>
    <t>row_updated</t>
  </si>
  <si>
    <t>BZIP2 level 1</t>
  </si>
  <si>
    <t>{'compression_level': 1}</t>
  </si>
  <si>
    <t>No family</t>
  </si>
  <si>
    <t>BZIP2 level 5</t>
  </si>
  <si>
    <t>{'compression_level': 5}</t>
  </si>
  <si>
    <t>BZIP2 level 9</t>
  </si>
  <si>
    <t>{'compression_level': 9}</t>
  </si>
  <si>
    <t>LZ77 Huffman level 5</t>
  </si>
  <si>
    <t>LZMA level 1</t>
  </si>
  <si>
    <t>LZMA level 5</t>
  </si>
  <si>
    <t>LZMA level 9</t>
  </si>
  <si>
    <t>datasets/Moffet_Sc02_17classes_PriorityMap-u8be-1x512x614.raw</t>
  </si>
  <si>
    <t>LZ77 Huffman level 9</t>
  </si>
  <si>
    <t>LZ77 Huffman level 1</t>
  </si>
  <si>
    <t>datasets/Moffet_Sc01_4classes_PriorityMap-u8be-1x512x614.raw</t>
  </si>
  <si>
    <t>Arithmetic Coder</t>
  </si>
  <si>
    <t>{}</t>
  </si>
  <si>
    <t>Huffman</t>
  </si>
  <si>
    <t>JPEG-LS</t>
  </si>
  <si>
    <t>{'ls': 0, 'c': '', 'm': 0}</t>
  </si>
  <si>
    <t>PassthroughCodec</t>
  </si>
  <si>
    <t>datasets/Moffet_Sc02_32classes_PriorityMap-u8be-1x512x614.raw</t>
  </si>
  <si>
    <t>datasets/Moffet_Sc02_9classes_PriorityMap-u8be-1x512x614.raw</t>
  </si>
  <si>
    <t>datasets/Moffet_Sc03_7classes_PriorityMap-u8be-1x512x614.raw</t>
  </si>
  <si>
    <t>RLE</t>
  </si>
  <si>
    <t>{'packbits': False}</t>
  </si>
  <si>
    <t>__atable_index</t>
  </si>
  <si>
    <t>task_name</t>
  </si>
  <si>
    <t>task_apply_time</t>
  </si>
  <si>
    <t>BZIP2__compression_level=1</t>
  </si>
  <si>
    <t>BZIP2__compression_level=5</t>
  </si>
  <si>
    <t>BZIP2__compression_level=9</t>
  </si>
  <si>
    <t>LZ77Huffman__compression_level=5</t>
  </si>
  <si>
    <t>LZMA__compression_level=1</t>
  </si>
  <si>
    <t>LZMA__compression_level=5</t>
  </si>
  <si>
    <t>LZMA__compression_level=9</t>
  </si>
  <si>
    <t>('datasets/Moffet_Sc02_17classes_PriorityMap-u8be-1x512x614.raw', 'BZIP2__compression_level=1')</t>
  </si>
  <si>
    <t>('datasets/Moffet_Sc02_17classes_PriorityMap-u8be-1x512x614.raw', 'BZIP2__compression_level=9')</t>
  </si>
  <si>
    <t>('datasets/Moffet_Sc02_17classes_PriorityMap-u8be-1x512x614.raw', 'LZMA__compression_level=9')</t>
  </si>
  <si>
    <t>('datasets/Moffet_Sc02_17classes_PriorityMap-u8be-1x512x614.raw', 'LZMA__compression_level=1')</t>
  </si>
  <si>
    <t>('datasets/Moffet_Sc02_17classes_PriorityMap-u8be-1x512x614.raw', 'LZ77Huffman__compression_level=9')</t>
  </si>
  <si>
    <t>LZ77Huffman__compression_level=9</t>
  </si>
  <si>
    <t>('datasets/Moffet_Sc02_17classes_PriorityMap-u8be-1x512x614.raw', 'LZ77Huffman__compression_level=1')</t>
  </si>
  <si>
    <t>LZ77Huffman__compression_level=1</t>
  </si>
  <si>
    <t>('datasets/Moffet_Sc01_4classes_PriorityMap-u8be-1x512x614.raw', 'ArithmeticCodec')</t>
  </si>
  <si>
    <t>ArithmeticCodec</t>
  </si>
  <si>
    <t>('datasets/Moffet_Sc01_4classes_PriorityMap-u8be-1x512x614.raw', 'BZIP2__compression_level=5')</t>
  </si>
  <si>
    <t>('datasets/Moffet_Sc01_4classes_PriorityMap-u8be-1x512x614.raw', 'HuffmanCodec')</t>
  </si>
  <si>
    <t>HuffmanCodec</t>
  </si>
  <si>
    <t>('datasets/Moffet_Sc01_4classes_PriorityMap-u8be-1x512x614.raw', 'JPEG_LS__c=_ls=0_m=0')</t>
  </si>
  <si>
    <t>JPEG_LS__c=_ls=0_m=0</t>
  </si>
  <si>
    <t>('datasets/Moffet_Sc01_4classes_PriorityMap-u8be-1x512x614.raw', 'LZ77Huffman__compression_level=5')</t>
  </si>
  <si>
    <t>('datasets/Moffet_Sc01_4classes_PriorityMap-u8be-1x512x614.raw', 'LZMA__compression_level=5')</t>
  </si>
  <si>
    <t>('datasets/Moffet_Sc01_4classes_PriorityMap-u8be-1x512x614.raw', 'PassthroughCodec')</t>
  </si>
  <si>
    <t>('datasets/Moffet_Sc02_17classes_PriorityMap-u8be-1x512x614.raw', 'ArithmeticCodec')</t>
  </si>
  <si>
    <t>('datasets/Moffet_Sc02_17classes_PriorityMap-u8be-1x512x614.raw', 'BZIP2__compression_level=5')</t>
  </si>
  <si>
    <t>('datasets/Moffet_Sc02_17classes_PriorityMap-u8be-1x512x614.raw', 'HuffmanCodec')</t>
  </si>
  <si>
    <t>('datasets/Moffet_Sc02_17classes_PriorityMap-u8be-1x512x614.raw', 'JPEG_LS__c=_ls=0_m=0')</t>
  </si>
  <si>
    <t>('datasets/Moffet_Sc02_17classes_PriorityMap-u8be-1x512x614.raw', 'LZ77Huffman__compression_level=5')</t>
  </si>
  <si>
    <t>('datasets/Moffet_Sc02_17classes_PriorityMap-u8be-1x512x614.raw', 'LZMA__compression_level=5')</t>
  </si>
  <si>
    <t>('datasets/Moffet_Sc02_17classes_PriorityMap-u8be-1x512x614.raw', 'PassthroughCodec')</t>
  </si>
  <si>
    <t>('datasets/Moffet_Sc02_32classes_PriorityMap-u8be-1x512x614.raw', 'ArithmeticCodec')</t>
  </si>
  <si>
    <t>('datasets/Moffet_Sc02_32classes_PriorityMap-u8be-1x512x614.raw', 'BZIP2__compression_level=5')</t>
  </si>
  <si>
    <t>('datasets/Moffet_Sc02_32classes_PriorityMap-u8be-1x512x614.raw', 'HuffmanCodec')</t>
  </si>
  <si>
    <t>('datasets/Moffet_Sc02_32classes_PriorityMap-u8be-1x512x614.raw', 'JPEG_LS__c=_ls=0_m=0')</t>
  </si>
  <si>
    <t>('datasets/Moffet_Sc02_32classes_PriorityMap-u8be-1x512x614.raw', 'LZ77Huffman__compression_level=5')</t>
  </si>
  <si>
    <t>('datasets/Moffet_Sc02_32classes_PriorityMap-u8be-1x512x614.raw', 'LZMA__compression_level=5')</t>
  </si>
  <si>
    <t>('datasets/Moffet_Sc02_32classes_PriorityMap-u8be-1x512x614.raw', 'PassthroughCodec')</t>
  </si>
  <si>
    <t>('datasets/Moffet_Sc02_9classes_PriorityMap-u8be-1x512x614.raw', 'ArithmeticCodec')</t>
  </si>
  <si>
    <t>('datasets/Moffet_Sc02_9classes_PriorityMap-u8be-1x512x614.raw', 'BZIP2__compression_level=5')</t>
  </si>
  <si>
    <t>('datasets/Moffet_Sc02_9classes_PriorityMap-u8be-1x512x614.raw', 'HuffmanCodec')</t>
  </si>
  <si>
    <t>('datasets/Moffet_Sc02_9classes_PriorityMap-u8be-1x512x614.raw', 'JPEG_LS__c=_ls=0_m=0')</t>
  </si>
  <si>
    <t>('datasets/Moffet_Sc02_9classes_PriorityMap-u8be-1x512x614.raw', 'LZ77Huffman__compression_level=5')</t>
  </si>
  <si>
    <t>('datasets/Moffet_Sc02_9classes_PriorityMap-u8be-1x512x614.raw', 'LZMA__compression_level=5')</t>
  </si>
  <si>
    <t>('datasets/Moffet_Sc02_9classes_PriorityMap-u8be-1x512x614.raw', 'PassthroughCodec')</t>
  </si>
  <si>
    <t>('datasets/Moffet_Sc03_7classes_PriorityMap-u8be-1x512x614.raw', 'ArithmeticCodec')</t>
  </si>
  <si>
    <t>('datasets/Moffet_Sc03_7classes_PriorityMap-u8be-1x512x614.raw', 'BZIP2__compression_level=5')</t>
  </si>
  <si>
    <t>('datasets/Moffet_Sc03_7classes_PriorityMap-u8be-1x512x614.raw', 'HuffmanCodec')</t>
  </si>
  <si>
    <t>('datasets/Moffet_Sc03_7classes_PriorityMap-u8be-1x512x614.raw', 'JPEG_LS__c=_ls=0_m=0')</t>
  </si>
  <si>
    <t>('datasets/Moffet_Sc03_7classes_PriorityMap-u8be-1x512x614.raw', 'LZ77Huffman__compression_level=5')</t>
  </si>
  <si>
    <t>('datasets/Moffet_Sc03_7classes_PriorityMap-u8be-1x512x614.raw', 'LZMA__compression_level=5')</t>
  </si>
  <si>
    <t>('datasets/Moffet_Sc03_7classes_PriorityMap-u8be-1x512x614.raw', 'PassthroughCodec')</t>
  </si>
  <si>
    <t>('datasets/Moffet_Sc01_4classes_PriorityMap-u8be-1x512x614.raw', 'RLECodec__packbits=False')</t>
  </si>
  <si>
    <t>RLECodec__packbits=False</t>
  </si>
  <si>
    <t>('datasets/Moffet_Sc02_17classes_PriorityMap-u8be-1x512x614.raw', 'RLECodec__packbits=False')</t>
  </si>
  <si>
    <t>('datasets/Moffet_Sc02_32classes_PriorityMap-u8be-1x512x614.raw', 'RLECodec__packbits=False')</t>
  </si>
  <si>
    <t>('datasets/Moffet_Sc02_9classes_PriorityMap-u8be-1x512x614.raw', 'RLECodec__packbits=False')</t>
  </si>
  <si>
    <t>('datasets/Moffet_Sc03_7classes_PriorityMap-u8be-1x512x614.raw', 'RLECodec__packbits=False')</t>
  </si>
  <si>
    <t>total</t>
  </si>
  <si>
    <t>decision bit</t>
  </si>
  <si>
    <t>raw values</t>
  </si>
  <si>
    <t>4 preguntas bps</t>
  </si>
  <si>
    <t>2 preguntas</t>
  </si>
  <si>
    <t>Etiquetas de fila</t>
  </si>
  <si>
    <t>Total general</t>
  </si>
  <si>
    <t>Etiquetas de columna</t>
  </si>
  <si>
    <t>Suma de bpppc</t>
  </si>
  <si>
    <t>Clases</t>
  </si>
  <si>
    <t>Baseline</t>
  </si>
  <si>
    <t>Number of clases</t>
  </si>
  <si>
    <t>Codec</t>
  </si>
  <si>
    <t>Teorical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</si>
</sst>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9" fontId="0" fillId="0" borderId="1" xfId="2" applyFont="1" applyBorder="1"/>
    <xf numFmtId="164" fontId="0" fillId="0" borderId="1" xfId="1" applyNumberFormat="1" applyFont="1" applyBorder="1"/>
    <xf numFmtId="0" fontId="4" fillId="0" borderId="1" xfId="0" applyFont="1" applyBorder="1" applyAlignment="1">
      <alignment horizontal="center" vertical="top"/>
    </xf>
    <xf numFmtId="164" fontId="0" fillId="0" borderId="0" xfId="1" applyNumberFormat="1" applyFont="1" applyBorder="1"/>
    <xf numFmtId="0" fontId="3" fillId="0" borderId="1" xfId="0" applyFont="1" applyBorder="1" applyAlignment="1">
      <alignment horizontal="center"/>
    </xf>
    <xf numFmtId="22" fontId="0" fillId="0" borderId="0" xfId="0" applyNumberFormat="1"/>
    <xf numFmtId="164" fontId="0" fillId="0" borderId="0" xfId="1" applyNumberFormat="1" applyFont="1"/>
    <xf numFmtId="0" fontId="1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4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5" fillId="3" borderId="1" xfId="0" applyFont="1" applyFill="1" applyBorder="1"/>
    <xf numFmtId="164" fontId="0" fillId="4" borderId="1" xfId="1" applyNumberFormat="1" applyFont="1" applyFill="1" applyBorder="1"/>
    <xf numFmtId="164" fontId="0" fillId="2" borderId="1" xfId="1" applyNumberFormat="1" applyFont="1" applyFill="1" applyBorder="1"/>
    <xf numFmtId="164" fontId="3" fillId="4" borderId="1" xfId="1" applyNumberFormat="1" applyFont="1" applyFill="1" applyBorder="1"/>
    <xf numFmtId="164" fontId="3" fillId="2" borderId="1" xfId="1" applyNumberFormat="1" applyFont="1" applyFill="1" applyBorder="1"/>
    <xf numFmtId="0" fontId="5" fillId="3" borderId="2" xfId="0" applyFon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17">
    <dxf>
      <numFmt numFmtId="164" formatCode="_-* #,##0.0000_-;\-* #,##0.0000_-;_-* &quot;-&quot;??_-;_-@_-"/>
    </dxf>
    <dxf>
      <numFmt numFmtId="164" formatCode="_-* #,##0.0000_-;\-* #,##0.0000_-;_-* &quot;-&quot;??_-;_-@_-"/>
    </dxf>
    <dxf>
      <numFmt numFmtId="164" formatCode="_-* #,##0.0000_-;\-* #,##0.0000_-;_-* &quot;-&quot;??_-;_-@_-"/>
    </dxf>
    <dxf>
      <numFmt numFmtId="164" formatCode="_-* #,##0.0000_-;\-* #,##0.0000_-;_-* &quot;-&quot;??_-;_-@_-"/>
    </dxf>
    <dxf>
      <numFmt numFmtId="164" formatCode="_-* #,##0.0000_-;\-* #,##0.0000_-;_-* &quot;-&quot;??_-;_-@_-"/>
    </dxf>
    <dxf>
      <numFmt numFmtId="164" formatCode="_-* #,##0.0000_-;\-* #,##0.0000_-;_-* &quot;-&quot;??_-;_-@_-"/>
    </dxf>
    <dxf>
      <numFmt numFmtId="164" formatCode="_-* #,##0.0000_-;\-* #,##0.0000_-;_-* &quot;-&quot;??_-;_-@_-"/>
    </dxf>
    <dxf>
      <numFmt numFmtId="164" formatCode="_-* #,##0.0000_-;\-* #,##0.0000_-;_-* &quot;-&quot;??_-;_-@_-"/>
    </dxf>
    <dxf>
      <alignment horizontal="left" vertical="bottom" textRotation="0" wrapText="0" indent="0" justifyLastLine="0" shrinkToFit="0" readingOrder="0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m. m." refreshedDate="46189.906870254628" createdVersion="8" refreshedVersion="8" minRefreshableVersion="3" recordCount="46" xr:uid="{977D6098-7214-4AF3-BF8A-7F6C4680954D}">
  <cacheSource type="worksheet">
    <worksheetSource name="persistence_LosslessExperiment__2"/>
  </cacheSource>
  <cacheFields count="20">
    <cacheField name="__atable_index" numFmtId="0">
      <sharedItems/>
    </cacheField>
    <cacheField name="file_path" numFmtId="0">
      <sharedItems count="5">
        <s v="datasets/Moffet_Sc02_17classes_PriorityMap-u8be-1x512x614.raw"/>
        <s v="datasets/Moffet_Sc01_4classes_PriorityMap-u8be-1x512x614.raw"/>
        <s v="datasets/Moffet_Sc02_32classes_PriorityMap-u8be-1x512x614.raw"/>
        <s v="datasets/Moffet_Sc02_9classes_PriorityMap-u8be-1x512x614.raw"/>
        <s v="datasets/Moffet_Sc03_7classes_PriorityMap-u8be-1x512x614.raw"/>
      </sharedItems>
    </cacheField>
    <cacheField name="task_name" numFmtId="0">
      <sharedItems/>
    </cacheField>
    <cacheField name="task_apply_time" numFmtId="0">
      <sharedItems containsSemiMixedTypes="0" containsString="0" containsNumber="1" minValue="18101" maxValue="2.4267599999999724E+16"/>
    </cacheField>
    <cacheField name="task_label" numFmtId="0">
      <sharedItems count="14">
        <s v="BZIP2 level 1"/>
        <s v="BZIP2 level 9"/>
        <s v="LZMA level 9"/>
        <s v="LZMA level 1"/>
        <s v="LZ77 Huffman level 9"/>
        <s v="LZ77 Huffman level 1"/>
        <s v="Arithmetic Coder"/>
        <s v="BZIP2 level 5"/>
        <s v="Huffman"/>
        <s v="JPEG-LS"/>
        <s v="LZ77 Huffman level 5"/>
        <s v="LZMA level 5"/>
        <s v="PassthroughCodec"/>
        <s v="RLE"/>
      </sharedItems>
    </cacheField>
    <cacheField name="param_dict" numFmtId="0">
      <sharedItems/>
    </cacheField>
    <cacheField name="family_label" numFmtId="0">
      <sharedItems/>
    </cacheField>
    <cacheField name="compressed_size_bytes" numFmtId="0">
      <sharedItems containsSemiMixedTypes="0" containsString="0" containsNumber="1" containsInteger="1" minValue="13957" maxValue="314368"/>
    </cacheField>
    <cacheField name="compression_ratio" numFmtId="0">
      <sharedItems containsSemiMixedTypes="0" containsString="0" containsNumber="1" containsInteger="1" minValue="10" maxValue="5.1088503916533944E+16"/>
    </cacheField>
    <cacheField name="lossless_reconstruction" numFmtId="0">
      <sharedItems/>
    </cacheField>
    <cacheField name="compression_time_seconds" numFmtId="0">
      <sharedItems containsSemiMixedTypes="0" containsString="0" containsNumber="1" containsInteger="1" minValue="0" maxValue="699999999999999"/>
    </cacheField>
    <cacheField name="decompression_time_seconds" numFmtId="0">
      <sharedItems containsSemiMixedTypes="0" containsString="0" containsNumber="1" containsInteger="1" minValue="0" maxValue="54828882"/>
    </cacheField>
    <cacheField name="repetitions" numFmtId="0">
      <sharedItems containsSemiMixedTypes="0" containsString="0" containsNumber="1" containsInteger="1" minValue="1" maxValue="1"/>
    </cacheField>
    <cacheField name="bpppc" numFmtId="0">
      <sharedItems containsSemiMixedTypes="0" containsString="0" containsNumber="1" minValue="0.355176099348534" maxValue="8"/>
    </cacheField>
    <cacheField name="compression_ratio_dr" numFmtId="0">
      <sharedItems containsSemiMixedTypes="0" containsString="0" containsNumber="1" containsInteger="1" minValue="5" maxValue="5.2455281658805736E+16"/>
    </cacheField>
    <cacheField name="compression_efficiency_1byte_entropy" numFmtId="0">
      <sharedItems containsSemiMixedTypes="0" containsString="0" containsNumber="1" containsInteger="1" minValue="3097524649553" maxValue="3.9575542222753816E+16"/>
    </cacheField>
    <cacheField name="compression_efficiency_2byte_entropy" numFmtId="0">
      <sharedItems containsSemiMixedTypes="0" containsString="0" containsNumber="1" containsInteger="1" minValue="-1" maxValue="-1"/>
    </cacheField>
    <cacheField name="compression_efficiency_4byte_entropy" numFmtId="0">
      <sharedItems containsSemiMixedTypes="0" containsString="0" containsNumber="1" containsInteger="1" minValue="-1" maxValue="-1"/>
    </cacheField>
    <cacheField name="row_created" numFmtId="22">
      <sharedItems containsSemiMixedTypes="0" containsNonDate="0" containsDate="1" containsString="0" minDate="2026-05-27T08:27:30" maxDate="2026-06-03T17:36:49"/>
    </cacheField>
    <cacheField name="row_updated" numFmtId="22">
      <sharedItems containsSemiMixedTypes="0" containsNonDate="0" containsDate="1" containsString="0" minDate="2026-05-27T08:27:30" maxDate="2026-06-03T17:36: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('datasets/Moffet_Sc02_17classes_PriorityMap-u8be-1x512x614.raw', 'BZIP2__compression_level=1')"/>
    <x v="0"/>
    <s v="BZIP2__compression_level=1"/>
    <n v="54353000000.000038"/>
    <x v="0"/>
    <s v="{'compression_level': 1}"/>
    <s v="No family"/>
    <n v="54899"/>
    <n v="5726297382465983"/>
    <b v="1"/>
    <n v="69450773"/>
    <n v="2251959"/>
    <n v="1"/>
    <n v="1.39706331433224"/>
    <n v="3.5789358640412392E+16"/>
    <n v="2651320710352509"/>
    <n v="-1"/>
    <n v="-1"/>
    <d v="2026-05-27T08:27:30"/>
    <d v="2026-05-27T08:27:30"/>
  </r>
  <r>
    <s v="('datasets/Moffet_Sc02_17classes_PriorityMap-u8be-1x512x614.raw', 'BZIP2__compression_level=9')"/>
    <x v="0"/>
    <s v="BZIP2__compression_level=9"/>
    <n v="57573999999.997742"/>
    <x v="1"/>
    <s v="{'compression_level': 9}"/>
    <s v="No family"/>
    <n v="54724"/>
    <n v="5744609312184782"/>
    <b v="1"/>
    <n v="71995543"/>
    <n v="29572965"/>
    <n v="1"/>
    <n v="1.39260993485342"/>
    <n v="3.5903808201154884E+16"/>
    <n v="2.6597992777874864E+16"/>
    <n v="-1"/>
    <n v="-1"/>
    <d v="2026-05-27T08:27:30"/>
    <d v="2026-05-27T08:27:30"/>
  </r>
  <r>
    <s v="('datasets/Moffet_Sc02_17classes_PriorityMap-u8be-1x512x614.raw', 'LZMA__compression_level=9')"/>
    <x v="0"/>
    <s v="LZMA__compression_level=9"/>
    <n v="270279999999.98386"/>
    <x v="2"/>
    <s v="{'compression_level': 9}"/>
    <s v="No family"/>
    <n v="43996"/>
    <n v="7145376852441131"/>
    <b v="1"/>
    <n v="79751932"/>
    <n v="6220657"/>
    <n v="1"/>
    <n v="1.1196050488599301"/>
    <n v="4465860532775707"/>
    <n v="3.3083656622793524E+16"/>
    <n v="-1"/>
    <n v="-1"/>
    <d v="2026-05-27T08:27:31"/>
    <d v="2026-05-27T08:27:31"/>
  </r>
  <r>
    <s v="('datasets/Moffet_Sc02_17classes_PriorityMap-u8be-1x512x614.raw', 'LZMA__compression_level=1')"/>
    <x v="0"/>
    <s v="LZMA__compression_level=1"/>
    <n v="52700999999.998749"/>
    <x v="3"/>
    <s v="{'compression_level': 1}"/>
    <s v="No family"/>
    <n v="54528"/>
    <n v="5765258215962441"/>
    <b v="1"/>
    <n v="144306961"/>
    <n v="15526544"/>
    <n v="1"/>
    <n v="1.3876221498371299"/>
    <n v="3603286384976526"/>
    <n v="2.6693598825858716E+16"/>
    <n v="-1"/>
    <n v="-1"/>
    <d v="2026-05-27T08:27:30"/>
    <d v="2026-05-27T08:27:30"/>
  </r>
  <r>
    <s v="('datasets/Moffet_Sc02_17classes_PriorityMap-u8be-1x512x614.raw', 'LZ77Huffman__compression_level=9')"/>
    <x v="0"/>
    <s v="LZ77Huffman__compression_level=9"/>
    <n v="29829000000.002048"/>
    <x v="4"/>
    <s v="{'compression_level': 9}"/>
    <s v="No family"/>
    <n v="54898"/>
    <n v="5726401690407665"/>
    <b v="1"/>
    <n v="238664065"/>
    <n v="2021951"/>
    <n v="1"/>
    <n v="1.39703786644951"/>
    <n v="3.5790010565047904E+16"/>
    <n v="2651369005749616"/>
    <n v="-1"/>
    <n v="-1"/>
    <d v="2026-05-27T13:14:00"/>
    <d v="2026-05-27T13:14:00"/>
  </r>
  <r>
    <s v="('datasets/Moffet_Sc02_17classes_PriorityMap-u8be-1x512x614.raw', 'LZ77Huffman__compression_level=1')"/>
    <x v="0"/>
    <s v="LZ77Huffman__compression_level=1"/>
    <n v="18499000000.00515"/>
    <x v="5"/>
    <s v="{'compression_level': 1}"/>
    <s v="No family"/>
    <n v="74217"/>
    <n v="4235795033482895"/>
    <b v="1"/>
    <n v="28373302"/>
    <n v="3172929"/>
    <n v="1"/>
    <n v="1.88866551302931"/>
    <n v="2.6473718959268092E+16"/>
    <n v="1961206403891863"/>
    <n v="-1"/>
    <n v="-1"/>
    <d v="2026-05-27T13:14:00"/>
    <d v="2026-05-27T13:14:00"/>
  </r>
  <r>
    <s v="('datasets/Moffet_Sc01_4classes_PriorityMap-u8be-1x512x614.raw', 'ArithmeticCodec')"/>
    <x v="1"/>
    <s v="ArithmeticCodec"/>
    <n v="3003859999999"/>
    <x v="6"/>
    <s v="{}"/>
    <s v="No family"/>
    <n v="61534"/>
    <n v="5.1088503916533944E+16"/>
    <b v="1"/>
    <n v="11"/>
    <n v="21"/>
    <n v="1"/>
    <n v="1.5659100162866399"/>
    <n v="1.2772125979133486E+16"/>
    <n v="9833107957286752"/>
    <n v="-1"/>
    <n v="-1"/>
    <d v="2026-06-03T16:50:53"/>
    <d v="2026-06-03T16:50:53"/>
  </r>
  <r>
    <s v="('datasets/Moffet_Sc01_4classes_PriorityMap-u8be-1x512x614.raw', 'BZIP2__compression_level=5')"/>
    <x v="1"/>
    <s v="BZIP2__compression_level=5"/>
    <n v="230169"/>
    <x v="7"/>
    <s v="{'compression_level': 5}"/>
    <s v="No family"/>
    <n v="15289"/>
    <n v="2.0561711034076788E+16"/>
    <b v="1"/>
    <n v="78489625"/>
    <n v="9083814"/>
    <n v="1"/>
    <n v="0.38907267915309401"/>
    <n v="5140427758519197"/>
    <n v="3.9575542222753816E+16"/>
    <n v="-1"/>
    <n v="-1"/>
    <d v="2026-06-03T16:50:52"/>
    <d v="2026-06-03T16:50:52"/>
  </r>
  <r>
    <s v="('datasets/Moffet_Sc01_4classes_PriorityMap-u8be-1x512x614.raw', 'HuffmanCodec')"/>
    <x v="1"/>
    <s v="HuffmanCodec"/>
    <n v="229491"/>
    <x v="8"/>
    <s v="{}"/>
    <s v="No family"/>
    <n v="64845"/>
    <n v="4847991364021898"/>
    <b v="1"/>
    <n v="5"/>
    <n v="4"/>
    <n v="1"/>
    <n v="1.65016795602605"/>
    <n v="1.2119978410054746E+16"/>
    <n v="9331027296533012"/>
    <n v="-1"/>
    <n v="-1"/>
    <d v="2026-06-03T16:50:52"/>
    <d v="2026-06-03T16:50:52"/>
  </r>
  <r>
    <s v="('datasets/Moffet_Sc01_4classes_PriorityMap-u8be-1x512x614.raw', 'JPEG_LS__c=_ls=0_m=0')"/>
    <x v="1"/>
    <s v="JPEG_LS__c=_ls=0_m=0"/>
    <n v="76316999999.992416"/>
    <x v="9"/>
    <s v="{'ls': 0, 'c': '', 'm': 0}"/>
    <s v="No family"/>
    <n v="13957"/>
    <n v="2252403811707387"/>
    <b v="1"/>
    <n v="2"/>
    <n v="2"/>
    <n v="1"/>
    <n v="0.355176099348534"/>
    <n v="5631009529268468"/>
    <n v="4335247295577008"/>
    <n v="-1"/>
    <n v="-1"/>
    <d v="2026-06-03T16:50:52"/>
    <d v="2026-06-03T16:50:52"/>
  </r>
  <r>
    <s v="('datasets/Moffet_Sc01_4classes_PriorityMap-u8be-1x512x614.raw', 'LZ77Huffman__compression_level=5')"/>
    <x v="1"/>
    <s v="LZ77Huffman__compression_level=5"/>
    <n v="18101"/>
    <x v="10"/>
    <s v="{'compression_level': 5}"/>
    <s v="No family"/>
    <n v="19534"/>
    <n v="1.6093375652708096E+16"/>
    <b v="1"/>
    <n v="21990295"/>
    <n v="1754723"/>
    <n v="1"/>
    <n v="0.49709894136807797"/>
    <n v="4023343913177024"/>
    <n v="3097524649553"/>
    <n v="-1"/>
    <n v="-1"/>
    <d v="2026-06-03T16:50:52"/>
    <d v="2026-06-03T16:50:52"/>
  </r>
  <r>
    <s v="('datasets/Moffet_Sc01_4classes_PriorityMap-u8be-1x512x614.raw', 'LZMA__compression_level=5')"/>
    <x v="1"/>
    <s v="LZMA__compression_level=5"/>
    <n v="30596000000.00079"/>
    <x v="11"/>
    <s v="{'compression_level': 5}"/>
    <s v="No family"/>
    <n v="15904"/>
    <n v="1.9766599597585516E+16"/>
    <b v="1"/>
    <n v="268075755"/>
    <n v="17653588"/>
    <n v="1"/>
    <n v="0.40472312703583002"/>
    <n v="4941649899396379"/>
    <n v="3804517511592575"/>
    <n v="-1"/>
    <n v="-1"/>
    <d v="2026-06-03T16:50:52"/>
    <d v="2026-06-03T16:50:52"/>
  </r>
  <r>
    <s v="('datasets/Moffet_Sc01_4classes_PriorityMap-u8be-1x512x614.raw', 'PassthroughCodec')"/>
    <x v="1"/>
    <s v="PassthroughCodec"/>
    <n v="76059999999.99585"/>
    <x v="12"/>
    <s v="{}"/>
    <s v="No family"/>
    <n v="314368"/>
    <n v="10"/>
    <b v="1"/>
    <n v="35261721"/>
    <n v="778485"/>
    <n v="1"/>
    <n v="8"/>
    <n v="25"/>
    <n v="1924720280192904"/>
    <n v="-1"/>
    <n v="-1"/>
    <d v="2026-06-03T16:50:52"/>
    <d v="2026-06-03T16:50:52"/>
  </r>
  <r>
    <s v="('datasets/Moffet_Sc02_17classes_PriorityMap-u8be-1x512x614.raw', 'ArithmeticCodec')"/>
    <x v="0"/>
    <s v="ArithmeticCodec"/>
    <n v="18759999999.999611"/>
    <x v="6"/>
    <s v="{}"/>
    <s v="No family"/>
    <n v="146582"/>
    <n v="2.1446562333710824E+16"/>
    <b v="1"/>
    <n v="11"/>
    <n v="19"/>
    <n v="1"/>
    <n v="3.7302015472312702"/>
    <n v="1.3404101458569264E+16"/>
    <n v="9929926981323928"/>
    <n v="-1"/>
    <n v="-1"/>
    <d v="2026-05-28T10:47:38"/>
    <d v="2026-05-28T10:47:38"/>
  </r>
  <r>
    <s v="('datasets/Moffet_Sc02_17classes_PriorityMap-u8be-1x512x614.raw', 'BZIP2__compression_level=5')"/>
    <x v="0"/>
    <s v="BZIP2__compression_level=5"/>
    <n v="47264999999.999458"/>
    <x v="7"/>
    <s v="{'compression_level': 5}"/>
    <s v="No family"/>
    <n v="54724"/>
    <n v="5744609312184782"/>
    <b v="1"/>
    <n v="36347507"/>
    <n v="27254813"/>
    <n v="1"/>
    <n v="1.39260993485342"/>
    <n v="3.5903808201154884E+16"/>
    <n v="2.6597992777874864E+16"/>
    <n v="-1"/>
    <n v="-1"/>
    <d v="2026-05-27T08:27:30"/>
    <d v="2026-05-27T08:27:30"/>
  </r>
  <r>
    <s v="('datasets/Moffet_Sc02_17classes_PriorityMap-u8be-1x512x614.raw', 'HuffmanCodec')"/>
    <x v="0"/>
    <s v="HuffmanCodec"/>
    <n v="40754999999.999962"/>
    <x v="8"/>
    <s v="{}"/>
    <s v="No family"/>
    <n v="147798"/>
    <n v="2.1270111909498096E+16"/>
    <b v="1"/>
    <n v="5"/>
    <n v="9"/>
    <n v="1"/>
    <n v="3.7611461726384299"/>
    <n v="1.3293819943436312E+16"/>
    <n v="9848229047594852"/>
    <n v="-1"/>
    <n v="-1"/>
    <d v="2026-06-03T16:50:52"/>
    <d v="2026-06-03T16:50:52"/>
  </r>
  <r>
    <s v="('datasets/Moffet_Sc02_17classes_PriorityMap-u8be-1x512x614.raw', 'JPEG_LS__c=_ls=0_m=0')"/>
    <x v="0"/>
    <s v="JPEG_LS__c=_ls=0_m=0"/>
    <n v="60346000000.002792"/>
    <x v="9"/>
    <s v="{'ls': 0, 'c': '', 'm': 0}"/>
    <s v="No family"/>
    <n v="66336"/>
    <n v="4739025566811384"/>
    <b v="1"/>
    <n v="6"/>
    <n v="2"/>
    <n v="1"/>
    <n v="1.68811074918566"/>
    <n v="2961890979257116"/>
    <n v="2.1942060974077784E+16"/>
    <n v="-1"/>
    <n v="-1"/>
    <d v="2026-05-27T13:14:00"/>
    <d v="2026-05-27T13:14:00"/>
  </r>
  <r>
    <s v="('datasets/Moffet_Sc02_17classes_PriorityMap-u8be-1x512x614.raw', 'LZ77Huffman__compression_level=5')"/>
    <x v="0"/>
    <s v="LZ77Huffman__compression_level=5"/>
    <n v="26464000000.000351"/>
    <x v="10"/>
    <s v="{'compression_level': 5}"/>
    <s v="No family"/>
    <n v="60110"/>
    <n v="5229878555980702"/>
    <b v="1"/>
    <n v="10011009"/>
    <n v="6852724"/>
    <n v="1"/>
    <n v="1.5296722312703499"/>
    <n v="3268674097487939"/>
    <n v="2421474890661161"/>
    <n v="-1"/>
    <n v="-1"/>
    <d v="2026-05-27T08:27:30"/>
    <d v="2026-05-27T08:27:30"/>
  </r>
  <r>
    <s v="('datasets/Moffet_Sc02_17classes_PriorityMap-u8be-1x512x614.raw', 'LZMA__compression_level=5')"/>
    <x v="0"/>
    <s v="LZMA__compression_level=5"/>
    <n v="29379999999.998989"/>
    <x v="11"/>
    <s v="{'compression_level': 5}"/>
    <s v="No family"/>
    <n v="45900"/>
    <n v="6848976034858388"/>
    <b v="1"/>
    <n v="593242021"/>
    <n v="10549043"/>
    <n v="1"/>
    <n v="1.1680578175895699"/>
    <n v="4280610021786492"/>
    <n v="3.1711297533255424E+16"/>
    <n v="-1"/>
    <n v="-1"/>
    <d v="2026-05-27T08:27:31"/>
    <d v="2026-05-27T08:27:31"/>
  </r>
  <r>
    <s v="('datasets/Moffet_Sc02_17classes_PriorityMap-u8be-1x512x614.raw', 'PassthroughCodec')"/>
    <x v="0"/>
    <s v="PassthroughCodec"/>
    <n v="36177999999.997818"/>
    <x v="12"/>
    <s v="{}"/>
    <s v="No family"/>
    <n v="314368"/>
    <n v="10"/>
    <b v="1"/>
    <n v="20021524"/>
    <n v="544555"/>
    <n v="1"/>
    <n v="8"/>
    <n v="625"/>
    <n v="4630078623703506"/>
    <n v="-1"/>
    <n v="-1"/>
    <d v="2026-06-03T16:50:52"/>
    <d v="2026-06-03T16:50:52"/>
  </r>
  <r>
    <s v="('datasets/Moffet_Sc02_32classes_PriorityMap-u8be-1x512x614.raw', 'ArithmeticCodec')"/>
    <x v="2"/>
    <s v="ArithmeticCodec"/>
    <n v="94026000000.000534"/>
    <x v="6"/>
    <s v="{}"/>
    <s v="No family"/>
    <n v="192451"/>
    <n v="1.6334963185434216E+16"/>
    <b v="1"/>
    <n v="14"/>
    <n v="29"/>
    <n v="1"/>
    <n v="4.8974704804560201"/>
    <n v="1.0209351990896384E+16"/>
    <n v="9946626814604016"/>
    <n v="-1"/>
    <n v="-1"/>
    <d v="2026-06-03T16:50:53"/>
    <d v="2026-06-03T16:50:53"/>
  </r>
  <r>
    <s v="('datasets/Moffet_Sc02_32classes_PriorityMap-u8be-1x512x614.raw', 'BZIP2__compression_level=5')"/>
    <x v="2"/>
    <s v="BZIP2__compression_level=5"/>
    <n v="28581999999.999222"/>
    <x v="7"/>
    <s v="{'compression_level': 5}"/>
    <s v="No family"/>
    <n v="104423"/>
    <n v="3010524501307183"/>
    <b v="1"/>
    <n v="71543602"/>
    <n v="54828882"/>
    <n v="1"/>
    <n v="2.6573442589576501"/>
    <n v="1.8815778133169896E+16"/>
    <n v="1833157711516962"/>
    <n v="-1"/>
    <n v="-1"/>
    <d v="2026-06-03T16:50:52"/>
    <d v="2026-06-03T16:50:52"/>
  </r>
  <r>
    <s v="('datasets/Moffet_Sc02_32classes_PriorityMap-u8be-1x512x614.raw', 'HuffmanCodec')"/>
    <x v="2"/>
    <s v="HuffmanCodec"/>
    <n v="341109999999.99866"/>
    <x v="8"/>
    <s v="{}"/>
    <s v="No family"/>
    <n v="193227"/>
    <n v="1.6269361942171644E+16"/>
    <b v="1"/>
    <n v="5"/>
    <n v="12"/>
    <n v="1"/>
    <n v="4.9172180374592802"/>
    <n v="1.0168351213857276E+16"/>
    <n v="9906681142373256"/>
    <n v="-1"/>
    <n v="-1"/>
    <d v="2026-06-03T16:50:53"/>
    <d v="2026-06-03T16:50:53"/>
  </r>
  <r>
    <s v="('datasets/Moffet_Sc02_32classes_PriorityMap-u8be-1x512x614.raw', 'JPEG_LS__c=_ls=0_m=0')"/>
    <x v="2"/>
    <s v="JPEG_LS__c=_ls=0_m=0"/>
    <n v="227100000000.09113"/>
    <x v="9"/>
    <s v="{'ls': 0, 'c': '', 'm': 0}"/>
    <s v="No family"/>
    <n v="153105"/>
    <n v="2053283694196793"/>
    <b v="1"/>
    <n v="699999999999999"/>
    <n v="6"/>
    <n v="1"/>
    <n v="3.8961980863192101"/>
    <n v="1.2833023088729956E+16"/>
    <n v="1.2502780948351506E+16"/>
    <n v="-1"/>
    <n v="-1"/>
    <d v="2026-06-03T16:50:53"/>
    <d v="2026-06-03T16:50:53"/>
  </r>
  <r>
    <s v="('datasets/Moffet_Sc02_32classes_PriorityMap-u8be-1x512x614.raw', 'LZ77Huffman__compression_level=5')"/>
    <x v="2"/>
    <s v="LZ77Huffman__compression_level=5"/>
    <n v="5822000000.0025473"/>
    <x v="10"/>
    <s v="{'compression_level': 5}"/>
    <s v="No family"/>
    <n v="114443"/>
    <n v="2.7469395244794352E+16"/>
    <b v="1"/>
    <n v="94661795"/>
    <n v="7377131"/>
    <n v="1"/>
    <n v="2.9123320439739402"/>
    <n v="1716837202799647"/>
    <n v="1.6726564989535028E+16"/>
    <n v="-1"/>
    <n v="-1"/>
    <d v="2026-06-03T16:50:52"/>
    <d v="2026-06-03T16:50:52"/>
  </r>
  <r>
    <s v="('datasets/Moffet_Sc02_32classes_PriorityMap-u8be-1x512x614.raw', 'LZMA__compression_level=5')"/>
    <x v="2"/>
    <s v="LZMA__compression_level=5"/>
    <n v="7981000000.0041237"/>
    <x v="11"/>
    <s v="{'compression_level': 5}"/>
    <s v="No family"/>
    <n v="102576"/>
    <n v="3.0647324910310404E+16"/>
    <b v="1"/>
    <n v="404169219"/>
    <n v="26998407"/>
    <n v="1"/>
    <n v="2.6103420195439702"/>
    <n v="19154578068944"/>
    <n v="1.8661658449319112E+16"/>
    <n v="-1"/>
    <n v="-1"/>
    <d v="2026-06-03T16:50:53"/>
    <d v="2026-06-03T16:50:53"/>
  </r>
  <r>
    <s v="('datasets/Moffet_Sc02_32classes_PriorityMap-u8be-1x512x614.raw', 'PassthroughCodec')"/>
    <x v="2"/>
    <s v="PassthroughCodec"/>
    <n v="51429999999.991203"/>
    <x v="12"/>
    <s v="{}"/>
    <s v="No family"/>
    <n v="314368"/>
    <n v="10"/>
    <b v="1"/>
    <n v="8627805"/>
    <n v="450604"/>
    <n v="1"/>
    <n v="8"/>
    <n v="625"/>
    <n v="608916390057944"/>
    <n v="-1"/>
    <n v="-1"/>
    <d v="2026-06-03T16:50:53"/>
    <d v="2026-06-03T16:50:53"/>
  </r>
  <r>
    <s v="('datasets/Moffet_Sc02_9classes_PriorityMap-u8be-1x512x614.raw', 'ArithmeticCodec')"/>
    <x v="3"/>
    <s v="ArithmeticCodec"/>
    <n v="241890000000.07788"/>
    <x v="6"/>
    <s v="{}"/>
    <s v="No family"/>
    <n v="108859"/>
    <n v="2887845745413792"/>
    <b v="1"/>
    <n v="13"/>
    <n v="26"/>
    <n v="1"/>
    <n v="2.7702310667752399"/>
    <n v="1443922872706896"/>
    <n v="9905696479128274"/>
    <n v="-1"/>
    <n v="-1"/>
    <d v="2026-06-03T16:50:54"/>
    <d v="2026-06-03T16:50:54"/>
  </r>
  <r>
    <s v="('datasets/Moffet_Sc02_9classes_PriorityMap-u8be-1x512x614.raw', 'BZIP2__compression_level=5')"/>
    <x v="3"/>
    <s v="BZIP2__compression_level=5"/>
    <n v="1683900000.0004599"/>
    <x v="7"/>
    <s v="{'compression_level': 5}"/>
    <s v="No family"/>
    <n v="33691"/>
    <n v="9330919236591374"/>
    <b v="1"/>
    <n v="80904801"/>
    <n v="41127789"/>
    <n v="1"/>
    <n v="0.85736461726384305"/>
    <n v="4665459618295687"/>
    <n v="3200629880447077"/>
    <n v="-1"/>
    <n v="-1"/>
    <d v="2026-06-03T16:50:53"/>
    <d v="2026-06-03T16:50:53"/>
  </r>
  <r>
    <s v="('datasets/Moffet_Sc02_9classes_PriorityMap-u8be-1x512x614.raw', 'HuffmanCodec')"/>
    <x v="3"/>
    <s v="HuffmanCodec"/>
    <n v="889600000.00082302"/>
    <x v="8"/>
    <s v="{}"/>
    <s v="No family"/>
    <n v="110387"/>
    <n v="284787157908087"/>
    <b v="1"/>
    <n v="5"/>
    <n v="7"/>
    <n v="1"/>
    <n v="2.8091154315960898"/>
    <n v="1423935789540435"/>
    <n v="9768579751432912"/>
    <n v="-1"/>
    <n v="-1"/>
    <d v="2026-06-03T16:50:53"/>
    <d v="2026-06-03T16:50:53"/>
  </r>
  <r>
    <s v="('datasets/Moffet_Sc02_9classes_PriorityMap-u8be-1x512x614.raw', 'JPEG_LS__c=_ls=0_m=0')"/>
    <x v="3"/>
    <s v="JPEG_LS__c=_ls=0_m=0"/>
    <n v="5872000000.0039854"/>
    <x v="9"/>
    <s v="{'ls': 0, 'c': '', 'm': 0}"/>
    <s v="No family"/>
    <n v="35801"/>
    <n v="8780983771403033"/>
    <b v="1"/>
    <n v="4"/>
    <n v="3"/>
    <n v="1"/>
    <n v="0.91105964983713295"/>
    <n v="4.3904918857015168E+16"/>
    <n v="3011994673392991"/>
    <n v="-1"/>
    <n v="-1"/>
    <d v="2026-06-03T16:50:53"/>
    <d v="2026-06-03T16:50:53"/>
  </r>
  <r>
    <s v="('datasets/Moffet_Sc02_9classes_PriorityMap-u8be-1x512x614.raw', 'LZ77Huffman__compression_level=5')"/>
    <x v="3"/>
    <s v="LZ77Huffman__compression_level=5"/>
    <n v="35883000000.000443"/>
    <x v="10"/>
    <s v="{'compression_level': 5}"/>
    <s v="No family"/>
    <n v="39311"/>
    <n v="7996947419297397"/>
    <b v="1"/>
    <n v="121501603"/>
    <n v="15368453"/>
    <n v="1"/>
    <n v="1.0003817182410399"/>
    <n v="3998473709648698"/>
    <n v="2743059736515033"/>
    <n v="-1"/>
    <n v="-1"/>
    <d v="2026-06-03T16:50:53"/>
    <d v="2026-06-03T16:50:53"/>
  </r>
  <r>
    <s v="('datasets/Moffet_Sc02_9classes_PriorityMap-u8be-1x512x614.raw', 'LZMA__compression_level=5')"/>
    <x v="3"/>
    <s v="LZMA__compression_level=5"/>
    <n v="5648999999.9964619"/>
    <x v="11"/>
    <s v="{'compression_level': 5}"/>
    <s v="No family"/>
    <n v="29496"/>
    <n v="1.0657987523732032E+16"/>
    <b v="1"/>
    <n v="417014593"/>
    <n v="13494527"/>
    <n v="1"/>
    <n v="0.75061074918566695"/>
    <n v="5328993761866016"/>
    <n v="3.6558320213636584E+16"/>
    <n v="-1"/>
    <n v="-1"/>
    <d v="2026-06-03T16:50:53"/>
    <d v="2026-06-03T16:50:53"/>
  </r>
  <r>
    <s v="('datasets/Moffet_Sc02_9classes_PriorityMap-u8be-1x512x614.raw', 'PassthroughCodec')"/>
    <x v="3"/>
    <s v="PassthroughCodec"/>
    <n v="3998999999.9906492"/>
    <x v="12"/>
    <s v="{}"/>
    <s v="No family"/>
    <n v="314368"/>
    <n v="10"/>
    <b v="1"/>
    <n v="16852923"/>
    <n v="1440329"/>
    <n v="1"/>
    <n v="8"/>
    <n v="5"/>
    <n v="3430133515565912"/>
    <n v="-1"/>
    <n v="-1"/>
    <d v="2026-06-03T16:50:53"/>
    <d v="2026-06-03T16:50:53"/>
  </r>
  <r>
    <s v="('datasets/Moffet_Sc03_7classes_PriorityMap-u8be-1x512x614.raw', 'ArithmeticCodec')"/>
    <x v="4"/>
    <s v="ArithmeticCodec"/>
    <n v="200330000000.02631"/>
    <x v="6"/>
    <s v="{}"/>
    <s v="No family"/>
    <n v="84216"/>
    <n v="3732877362971407"/>
    <b v="1"/>
    <n v="13"/>
    <n v="24"/>
    <n v="1"/>
    <n v="2.1431188925081401"/>
    <n v="1.3998290111142776E+16"/>
    <n v="9878093830146596"/>
    <n v="-1"/>
    <n v="-1"/>
    <d v="2026-06-03T16:50:54"/>
    <d v="2026-06-03T16:50:54"/>
  </r>
  <r>
    <s v="('datasets/Moffet_Sc03_7classes_PriorityMap-u8be-1x512x614.raw', 'BZIP2__compression_level=5')"/>
    <x v="4"/>
    <s v="BZIP2__compression_level=5"/>
    <n v="4402999999.9861679"/>
    <x v="7"/>
    <s v="{'compression_level': 5}"/>
    <s v="No family"/>
    <n v="22474"/>
    <n v="1398807510901486"/>
    <b v="1"/>
    <n v="2996353"/>
    <n v="17742901"/>
    <n v="1"/>
    <n v="0.57191571661237695"/>
    <n v="5.2455281658805736E+16"/>
    <n v="370158205036765"/>
    <n v="-1"/>
    <n v="-1"/>
    <d v="2026-06-03T16:50:53"/>
    <d v="2026-06-03T16:50:53"/>
  </r>
  <r>
    <s v="('datasets/Moffet_Sc03_7classes_PriorityMap-u8be-1x512x614.raw', 'HuffmanCodec')"/>
    <x v="4"/>
    <s v="HuffmanCodec"/>
    <n v="5696999999.9989529"/>
    <x v="8"/>
    <s v="{}"/>
    <s v="No family"/>
    <n v="85391"/>
    <n v="3681512103149044"/>
    <b v="1"/>
    <n v="4"/>
    <n v="5"/>
    <n v="1"/>
    <n v="2.1730201547231198"/>
    <n v="1.3805670386808916E+16"/>
    <n v="9742168963937954"/>
    <n v="-1"/>
    <n v="-1"/>
    <d v="2026-06-03T16:50:54"/>
    <d v="2026-06-03T16:50:54"/>
  </r>
  <r>
    <s v="('datasets/Moffet_Sc03_7classes_PriorityMap-u8be-1x512x614.raw', 'JPEG_LS__c=_ls=0_m=0')"/>
    <x v="4"/>
    <s v="JPEG_LS__c=_ls=0_m=0"/>
    <n v="59399999999.959488"/>
    <x v="9"/>
    <s v="{'ls': 0, 'c': '', 'm': 0}"/>
    <s v="No family"/>
    <n v="23104"/>
    <n v="1.3606648199445984E+16"/>
    <b v="1"/>
    <n v="2"/>
    <n v="2"/>
    <n v="1"/>
    <n v="0.58794788273615595"/>
    <n v="5102493074792244"/>
    <n v="3600647290510846"/>
    <n v="-1"/>
    <n v="-1"/>
    <d v="2026-06-03T16:50:54"/>
    <d v="2026-06-03T16:50:54"/>
  </r>
  <r>
    <s v="('datasets/Moffet_Sc03_7classes_PriorityMap-u8be-1x512x614.raw', 'LZ77Huffman__compression_level=5')"/>
    <x v="4"/>
    <s v="LZ77Huffman__compression_level=5"/>
    <n v="413900000000.30011"/>
    <x v="10"/>
    <s v="{'compression_level': 5}"/>
    <s v="No family"/>
    <n v="26416"/>
    <n v="1.1900666262870988E+16"/>
    <b v="1"/>
    <n v="2751253"/>
    <n v="1602561"/>
    <n v="1"/>
    <n v="0.67223127035830599"/>
    <n v="446274984857662"/>
    <n v="3.1492033237417696E+16"/>
    <n v="-1"/>
    <n v="-1"/>
    <d v="2026-06-03T16:50:54"/>
    <d v="2026-06-03T16:50:54"/>
  </r>
  <r>
    <s v="('datasets/Moffet_Sc03_7classes_PriorityMap-u8be-1x512x614.raw', 'LZMA__compression_level=5')"/>
    <x v="4"/>
    <s v="LZMA__compression_level=5"/>
    <n v="6328999999.9993629"/>
    <x v="11"/>
    <s v="{'compression_level': 5}"/>
    <s v="No family"/>
    <n v="18864"/>
    <n v="1.6664970313825276E+16"/>
    <b v="1"/>
    <n v="441215102"/>
    <n v="2978348"/>
    <n v="1"/>
    <n v="0.48004885993485302"/>
    <n v="6249363867684479"/>
    <n v="4409953085239747"/>
    <n v="-1"/>
    <n v="-1"/>
    <d v="2026-06-03T16:50:54"/>
    <d v="2026-06-03T16:50:54"/>
  </r>
  <r>
    <s v="('datasets/Moffet_Sc03_7classes_PriorityMap-u8be-1x512x614.raw', 'PassthroughCodec')"/>
    <x v="4"/>
    <s v="PassthroughCodec"/>
    <n v="5179000000.0218048"/>
    <x v="12"/>
    <s v="{}"/>
    <s v="No family"/>
    <n v="314368"/>
    <n v="10"/>
    <b v="1"/>
    <n v="20563254"/>
    <n v="410755"/>
    <n v="1"/>
    <n v="8"/>
    <n v="375"/>
    <n v="2646241188669412"/>
    <n v="-1"/>
    <n v="-1"/>
    <d v="2026-06-03T16:50:54"/>
    <d v="2026-06-03T16:50:54"/>
  </r>
  <r>
    <s v="('datasets/Moffet_Sc01_4classes_PriorityMap-u8be-1x512x614.raw', 'RLECodec__packbits=False')"/>
    <x v="1"/>
    <s v="RLECodec__packbits=False"/>
    <n v="1.3702589999999988E+16"/>
    <x v="13"/>
    <s v="{'packbits': False}"/>
    <s v="No family"/>
    <n v="44769"/>
    <n v="7022001831624562"/>
    <b v="1"/>
    <n v="0"/>
    <n v="0"/>
    <n v="1"/>
    <n v="1.1392762622149799"/>
    <n v="1.7555004579061404E+16"/>
    <n v="1.3515389332879516E+16"/>
    <n v="-1"/>
    <n v="-1"/>
    <d v="2026-06-03T17:36:48"/>
    <d v="2026-06-03T17:36:48"/>
  </r>
  <r>
    <s v="('datasets/Moffet_Sc02_17classes_PriorityMap-u8be-1x512x614.raw', 'RLECodec__packbits=False')"/>
    <x v="0"/>
    <s v="RLECodec__packbits=False"/>
    <n v="2.4267599999999724E+16"/>
    <x v="13"/>
    <s v="{'packbits': False}"/>
    <s v="No family"/>
    <n v="148743"/>
    <n v="2113497778046698"/>
    <b v="1"/>
    <n v="1"/>
    <n v="1"/>
    <n v="1"/>
    <n v="3.7851944218240998"/>
    <n v="1.3209361112791862E+16"/>
    <n v="9785660883378876"/>
    <n v="-1"/>
    <n v="-1"/>
    <d v="2026-06-03T17:36:49"/>
    <d v="2026-06-03T17:36:49"/>
  </r>
  <r>
    <s v="('datasets/Moffet_Sc02_32classes_PriorityMap-u8be-1x512x614.raw', 'RLECodec__packbits=False')"/>
    <x v="2"/>
    <s v="RLECodec__packbits=False"/>
    <n v="1.1774099999997678E+16"/>
    <x v="13"/>
    <s v="{'packbits': False}"/>
    <s v="No family"/>
    <n v="253140"/>
    <n v="1241874061783993"/>
    <b v="1"/>
    <n v="2"/>
    <n v="2"/>
    <n v="1"/>
    <n v="6.4418770358306103"/>
    <n v="7761712886149956"/>
    <n v="756197470608105"/>
    <n v="-1"/>
    <n v="-1"/>
    <d v="2026-06-03T17:36:49"/>
    <d v="2026-06-03T17:36:49"/>
  </r>
  <r>
    <s v="('datasets/Moffet_Sc02_9classes_PriorityMap-u8be-1x512x614.raw', 'RLECodec__packbits=False')"/>
    <x v="3"/>
    <s v="RLECodec__packbits=False"/>
    <n v="83647000000.020004"/>
    <x v="13"/>
    <s v="{'packbits': False}"/>
    <s v="No family"/>
    <n v="96879"/>
    <n v="3.2449550470174136E+16"/>
    <b v="1"/>
    <n v="1"/>
    <n v="1"/>
    <n v="1"/>
    <n v="2.4653654315960898"/>
    <n v="1.6224775235087068E+16"/>
    <n v="1.1130629063279192E+16"/>
    <n v="-1"/>
    <n v="-1"/>
    <d v="2026-06-03T17:36:49"/>
    <d v="2026-06-03T17:36:49"/>
  </r>
  <r>
    <s v="('datasets/Moffet_Sc03_7classes_PriorityMap-u8be-1x512x614.raw', 'RLECodec__packbits=False')"/>
    <x v="4"/>
    <s v="RLECodec__packbits=False"/>
    <n v="1.5010499999998372E+16"/>
    <x v="13"/>
    <s v="{'packbits': False}"/>
    <s v="No family"/>
    <n v="67760"/>
    <n v="4639433293978748"/>
    <b v="1"/>
    <n v="1"/>
    <n v="0"/>
    <n v="1"/>
    <n v="1.72434853420195"/>
    <n v="1.7397874852420308E+16"/>
    <n v="1227705947461077"/>
    <n v="-1"/>
    <n v="-1"/>
    <d v="2026-06-03T17:36:49"/>
    <d v="2026-06-03T17:36: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DA76C-5368-4C5B-A805-C9519EEEA0F4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P10" firstHeaderRow="1" firstDataRow="2" firstDataCol="1"/>
  <pivotFields count="20"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axis="axisCol" showAll="0">
      <items count="15">
        <item x="6"/>
        <item x="0"/>
        <item x="7"/>
        <item x="1"/>
        <item x="8"/>
        <item x="9"/>
        <item x="5"/>
        <item x="10"/>
        <item x="4"/>
        <item x="3"/>
        <item x="11"/>
        <item x="2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22" showAll="0"/>
    <pivotField numFmtId="22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a de bpppc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8B05655-322E-4A28-94B0-A65EF7394C15}" autoFormatId="16" applyNumberFormats="0" applyBorderFormats="0" applyFontFormats="0" applyPatternFormats="0" applyAlignmentFormats="0" applyWidthHeightFormats="0">
  <queryTableRefresh nextId="24">
    <queryTableFields count="20">
      <queryTableField id="1" name="__atable_index" tableColumnId="1"/>
      <queryTableField id="2" name="file_path" tableColumnId="2"/>
      <queryTableField id="3" name="task_name" tableColumnId="3"/>
      <queryTableField id="4" name="task_apply_time" tableColumnId="4"/>
      <queryTableField id="5" name="task_label" tableColumnId="5"/>
      <queryTableField id="6" name="param_dict" tableColumnId="6"/>
      <queryTableField id="7" name="family_label" tableColumnId="7"/>
      <queryTableField id="8" name="compressed_size_bytes" tableColumnId="8"/>
      <queryTableField id="9" name="compression_ratio" tableColumnId="9"/>
      <queryTableField id="10" name="lossless_reconstruction" tableColumnId="10"/>
      <queryTableField id="11" name="compression_time_seconds" tableColumnId="11"/>
      <queryTableField id="12" name="decompression_time_seconds" tableColumnId="12"/>
      <queryTableField id="13" name="repetitions" tableColumnId="13"/>
      <queryTableField id="17" name="bpppc" tableColumnId="17"/>
      <queryTableField id="18" name="compression_ratio_dr" tableColumnId="18"/>
      <queryTableField id="19" name="compression_efficiency_1byte_entropy" tableColumnId="19"/>
      <queryTableField id="20" name="compression_efficiency_2byte_entropy" tableColumnId="20"/>
      <queryTableField id="21" name="compression_efficiency_4byte_entropy" tableColumnId="21"/>
      <queryTableField id="22" name="row_created" tableColumnId="22"/>
      <queryTableField id="23" name="row_updated" tableColumnId="23"/>
    </queryTableFields>
    <queryTableDeletedFields count="3">
      <deletedField name="compressed_file_sha256"/>
      <deletedField name="compression_memory_kb"/>
      <deletedField name="decompression_memory_kb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105A1-0661-4C25-A625-99EB3675BB97}" name="persistence_LosslessExperiment__2" displayName="persistence_LosslessExperiment__2" ref="A1:T47" tableType="queryTable" totalsRowShown="0">
  <autoFilter ref="A1:T47" xr:uid="{8AB105A1-0661-4C25-A625-99EB3675BB97}"/>
  <tableColumns count="20">
    <tableColumn id="1" xr3:uid="{A2DFDD3E-B99F-41E8-9A04-4D94B21DB84C}" uniqueName="1" name="__atable_index" queryTableFieldId="1" dataDxfId="16"/>
    <tableColumn id="2" xr3:uid="{5F21BB69-4C26-412F-8B17-2EC05D5477E5}" uniqueName="2" name="file_path" queryTableFieldId="2" dataDxfId="15"/>
    <tableColumn id="3" xr3:uid="{679A7BCE-AC2D-49FA-BB74-0ED1E6133976}" uniqueName="3" name="task_name" queryTableFieldId="3" dataDxfId="14"/>
    <tableColumn id="4" xr3:uid="{03BCBC74-B120-45B2-B488-82202711A723}" uniqueName="4" name="task_apply_time" queryTableFieldId="4"/>
    <tableColumn id="5" xr3:uid="{4638CB66-63EF-42D7-875F-04EEBA413DFC}" uniqueName="5" name="task_label" queryTableFieldId="5" dataDxfId="13"/>
    <tableColumn id="6" xr3:uid="{ED0600AC-A0B6-4A26-8D33-7DDCF0745CA0}" uniqueName="6" name="param_dict" queryTableFieldId="6" dataDxfId="12"/>
    <tableColumn id="7" xr3:uid="{C6F4EA7E-9220-41C9-8ACF-F02320DF9215}" uniqueName="7" name="family_label" queryTableFieldId="7" dataDxfId="11"/>
    <tableColumn id="8" xr3:uid="{13F47D99-3D80-4D5D-BE3B-4737AB55E1F5}" uniqueName="8" name="compressed_size_bytes" queryTableFieldId="8"/>
    <tableColumn id="9" xr3:uid="{DDD642A9-BA05-4D10-9F57-1AC75CB6F7BF}" uniqueName="9" name="compression_ratio" queryTableFieldId="9"/>
    <tableColumn id="10" xr3:uid="{C88857D6-242C-4DE1-BEFB-0A46A3B80C9A}" uniqueName="10" name="lossless_reconstruction" queryTableFieldId="10"/>
    <tableColumn id="11" xr3:uid="{8DCB0054-55DA-4D0B-8256-EA45A1258871}" uniqueName="11" name="compression_time_seconds" queryTableFieldId="11"/>
    <tableColumn id="12" xr3:uid="{C2B95748-48C3-4441-954E-20E391CD6549}" uniqueName="12" name="decompression_time_seconds" queryTableFieldId="12"/>
    <tableColumn id="13" xr3:uid="{C098FB0D-9687-4750-8238-04C082B04E1A}" uniqueName="13" name="repetitions" queryTableFieldId="13"/>
    <tableColumn id="17" xr3:uid="{A1EEE54B-9135-482F-A45D-98A1E72BBFC7}" uniqueName="17" name="bpppc" queryTableFieldId="17"/>
    <tableColumn id="18" xr3:uid="{C09577D8-84B9-4AA7-8063-6B01FA35701B}" uniqueName="18" name="compression_ratio_dr" queryTableFieldId="18"/>
    <tableColumn id="19" xr3:uid="{0BAC2E94-8E31-483D-818B-89C2C1BF7CDC}" uniqueName="19" name="compression_efficiency_1byte_entropy" queryTableFieldId="19"/>
    <tableColumn id="20" xr3:uid="{BFE257CA-54C4-423A-AA95-F9B3F5CBDE43}" uniqueName="20" name="compression_efficiency_2byte_entropy" queryTableFieldId="20"/>
    <tableColumn id="21" xr3:uid="{C8BBD4E6-34B6-4958-B852-F6B22A88CBBF}" uniqueName="21" name="compression_efficiency_4byte_entropy" queryTableFieldId="21"/>
    <tableColumn id="22" xr3:uid="{7F5488FF-21E8-4961-B247-5657E9710F56}" uniqueName="22" name="row_created" queryTableFieldId="22" dataDxfId="10"/>
    <tableColumn id="23" xr3:uid="{37F3F960-2F52-4F32-AC09-72340BC76626}" uniqueName="23" name="row_updated" queryTableFieldId="23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0494FD-0FEB-4F86-8E39-6CDAB8A05567}" name="Tabla3" displayName="Tabla3" ref="D2:L7" totalsRowShown="0">
  <autoFilter ref="D2:L7" xr:uid="{A60494FD-0FEB-4F86-8E39-6CDAB8A05567}"/>
  <sortState xmlns:xlrd2="http://schemas.microsoft.com/office/spreadsheetml/2017/richdata2" ref="D3:L7">
    <sortCondition ref="D2:D7"/>
  </sortState>
  <tableColumns count="9">
    <tableColumn id="1" xr3:uid="{C7E8C682-9279-4408-96D6-117EE3DB93EB}" name="Clases" dataDxfId="8"/>
    <tableColumn id="2" xr3:uid="{B9E6C247-051F-46BB-9706-A8E7C59F4A97}" name="Arithmetic Coder" dataDxfId="7" dataCellStyle="Millares"/>
    <tableColumn id="3" xr3:uid="{93DE4EAE-5BD3-4816-B30B-DF54372A8FE5}" name="BZIP2 level 5" dataDxfId="6" dataCellStyle="Millares"/>
    <tableColumn id="4" xr3:uid="{75A72D6B-3132-4EF9-AA68-379FD7DB956A}" name="Huffman" dataDxfId="5" dataCellStyle="Millares"/>
    <tableColumn id="5" xr3:uid="{8BDA9097-1826-4A39-919B-E6B1F4A46F49}" name="JPEG-LS" dataDxfId="4" dataCellStyle="Millares"/>
    <tableColumn id="6" xr3:uid="{2885A043-094E-44A3-B2F4-1F700593CFC0}" name="LZ77 Huffman level 5" dataDxfId="3" dataCellStyle="Millares"/>
    <tableColumn id="7" xr3:uid="{7815BC7A-70FC-4241-A633-B8F0B9DD382C}" name="LZMA level 5" dataDxfId="2" dataCellStyle="Millares"/>
    <tableColumn id="8" xr3:uid="{400B5695-81F6-4FB2-903D-1612BC6F9EA1}" name="RLE" dataDxfId="1" dataCellStyle="Millares"/>
    <tableColumn id="9" xr3:uid="{C9900514-495D-4B40-AB97-D6458D3AE2A8}" name="Baseline" dataDxfId="0" dataCellStyle="Milla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workbookViewId="0">
      <selection activeCell="G2" sqref="G2:G6"/>
    </sheetView>
  </sheetViews>
  <sheetFormatPr baseColWidth="10" defaultColWidth="8.88671875" defaultRowHeight="14.4" x14ac:dyDescent="0.3"/>
  <cols>
    <col min="3" max="3" width="15.5546875" bestFit="1" customWidth="1"/>
    <col min="4" max="5" width="12" bestFit="1" customWidth="1"/>
    <col min="6" max="6" width="20.33203125" bestFit="1" customWidth="1"/>
    <col min="7" max="7" width="12" bestFit="1" customWidth="1"/>
    <col min="8" max="8" width="15.5546875" bestFit="1" customWidth="1"/>
    <col min="9" max="9" width="15.6640625" bestFit="1" customWidth="1"/>
    <col min="10" max="10" width="12.21875" bestFit="1" customWidth="1"/>
    <col min="11" max="12" width="12" bestFit="1" customWidth="1"/>
    <col min="13" max="13" width="7.88671875" bestFit="1" customWidth="1"/>
    <col min="14" max="14" width="10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124</v>
      </c>
      <c r="N1" s="10" t="s">
        <v>125</v>
      </c>
      <c r="O1" s="10" t="s">
        <v>126</v>
      </c>
    </row>
    <row r="2" spans="1:15" x14ac:dyDescent="0.3">
      <c r="A2">
        <v>4</v>
      </c>
      <c r="B2">
        <v>1.539776224154324</v>
      </c>
      <c r="C2">
        <v>0.34911048675511741</v>
      </c>
      <c r="D2">
        <v>0.30443884740576832</v>
      </c>
      <c r="E2">
        <v>0.15842985171636301</v>
      </c>
      <c r="F2">
        <v>0.31927497303641889</v>
      </c>
      <c r="G2">
        <v>0.17852815794651269</v>
      </c>
      <c r="H2">
        <v>0.16615056542861961</v>
      </c>
      <c r="I2">
        <v>1.2377592517893171E-2</v>
      </c>
      <c r="J2">
        <v>0.1831166021986971</v>
      </c>
      <c r="K2">
        <v>0.16666454600977201</v>
      </c>
      <c r="L2">
        <v>1.645205618892508E-2</v>
      </c>
      <c r="M2" s="9">
        <f>G2/J2</f>
        <v>0.97494250004046301</v>
      </c>
      <c r="N2" s="9">
        <f>H2/K2</f>
        <v>0.99691607727343368</v>
      </c>
      <c r="O2" s="9">
        <f>I2/L2</f>
        <v>0.75234319502417646</v>
      </c>
    </row>
    <row r="3" spans="1:15" x14ac:dyDescent="0.3">
      <c r="A3">
        <v>7</v>
      </c>
      <c r="B3">
        <v>2.1169929509355301</v>
      </c>
      <c r="C3">
        <v>0.47758240219284492</v>
      </c>
      <c r="D3">
        <v>0.40176571338381262</v>
      </c>
      <c r="E3">
        <v>0.22847109837041871</v>
      </c>
      <c r="F3">
        <v>0.43098615334846391</v>
      </c>
      <c r="G3">
        <v>0.27468339154962029</v>
      </c>
      <c r="H3">
        <v>0.24508781251798201</v>
      </c>
      <c r="I3">
        <v>2.9595579031638009E-2</v>
      </c>
      <c r="J3">
        <v>0.28453595785830621</v>
      </c>
      <c r="K3">
        <v>0.24564841205211729</v>
      </c>
      <c r="L3">
        <v>3.8887545806188917E-2</v>
      </c>
      <c r="M3" s="9">
        <f t="shared" ref="M3:M6" si="0">G3/J3</f>
        <v>0.96537321193832271</v>
      </c>
      <c r="N3" s="9">
        <f t="shared" ref="N3:N6" si="1">H3/K3</f>
        <v>0.99771787845298043</v>
      </c>
      <c r="O3" s="9">
        <f t="shared" ref="O3:O6" si="2">I3/L3</f>
        <v>0.76105545922437456</v>
      </c>
    </row>
    <row r="4" spans="1:15" x14ac:dyDescent="0.3">
      <c r="A4">
        <v>9</v>
      </c>
      <c r="B4">
        <v>2.7441068124527299</v>
      </c>
      <c r="C4">
        <v>0.68470892705481878</v>
      </c>
      <c r="D4">
        <v>0.54614313868024134</v>
      </c>
      <c r="E4">
        <v>0.35024454372226332</v>
      </c>
      <c r="F4">
        <v>0.60887086640166166</v>
      </c>
      <c r="G4">
        <v>0.45261248951094091</v>
      </c>
      <c r="H4">
        <v>0.39047217420685387</v>
      </c>
      <c r="I4">
        <v>6.2140315304087049E-2</v>
      </c>
      <c r="J4">
        <v>0.49317678644136809</v>
      </c>
      <c r="K4">
        <v>0.39106715696254069</v>
      </c>
      <c r="L4">
        <v>0.1021096294788274</v>
      </c>
      <c r="M4" s="9">
        <f t="shared" si="0"/>
        <v>0.91774897350070284</v>
      </c>
      <c r="N4" s="9">
        <f t="shared" si="1"/>
        <v>0.99847856628946263</v>
      </c>
      <c r="O4" s="9">
        <f t="shared" si="2"/>
        <v>0.60856469288209436</v>
      </c>
    </row>
    <row r="5" spans="1:15" x14ac:dyDescent="0.3">
      <c r="A5">
        <v>17</v>
      </c>
      <c r="B5">
        <v>3.7040628989628051</v>
      </c>
      <c r="C5">
        <v>1.0913421137470221</v>
      </c>
      <c r="D5">
        <v>0.77753404689891426</v>
      </c>
      <c r="E5">
        <v>0.52303751378978025</v>
      </c>
      <c r="F5">
        <v>0.95270724796141293</v>
      </c>
      <c r="G5">
        <v>0.83059848429823946</v>
      </c>
      <c r="H5">
        <v>0.64087435441656537</v>
      </c>
      <c r="I5">
        <v>0.189724129881674</v>
      </c>
      <c r="J5">
        <v>0.92248574918566772</v>
      </c>
      <c r="K5">
        <v>0.64154112377850159</v>
      </c>
      <c r="L5">
        <v>0.28094462540716608</v>
      </c>
      <c r="M5" s="9">
        <f t="shared" si="0"/>
        <v>0.90039167004092746</v>
      </c>
      <c r="N5" s="9">
        <f t="shared" si="1"/>
        <v>0.99896067557133494</v>
      </c>
      <c r="O5" s="9">
        <f t="shared" si="2"/>
        <v>0.67530791737592955</v>
      </c>
    </row>
    <row r="6" spans="1:15" x14ac:dyDescent="0.3">
      <c r="A6">
        <v>32</v>
      </c>
      <c r="B6">
        <v>4.8713311204635517</v>
      </c>
      <c r="C6">
        <v>2.151671790766732</v>
      </c>
      <c r="D6">
        <v>0.99206782043694874</v>
      </c>
      <c r="E6">
        <v>0.75655423865965177</v>
      </c>
      <c r="F6">
        <v>1.7230444002773639</v>
      </c>
      <c r="G6">
        <v>2.3348842143826678</v>
      </c>
      <c r="H6">
        <v>1.3139994238039761</v>
      </c>
      <c r="I6">
        <v>1.020884790578692</v>
      </c>
      <c r="J6">
        <v>2.4276198595276872</v>
      </c>
      <c r="K6">
        <v>1.3147680425488599</v>
      </c>
      <c r="L6">
        <v>1.1128518169788271</v>
      </c>
      <c r="M6" s="9">
        <f t="shared" si="0"/>
        <v>0.96179976663930333</v>
      </c>
      <c r="N6" s="9">
        <f t="shared" si="1"/>
        <v>0.99941539593296336</v>
      </c>
      <c r="O6" s="9">
        <f t="shared" si="2"/>
        <v>0.91735914432003407</v>
      </c>
    </row>
    <row r="9" spans="1:15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</row>
    <row r="10" spans="1:15" x14ac:dyDescent="0.3">
      <c r="A10">
        <v>4</v>
      </c>
      <c r="B10">
        <v>1.539776224154324</v>
      </c>
      <c r="C10">
        <v>0.35887979749709548</v>
      </c>
      <c r="D10">
        <v>0.30269489796385429</v>
      </c>
      <c r="E10">
        <v>0.15620324562412299</v>
      </c>
      <c r="F10">
        <v>0.31452084315163448</v>
      </c>
      <c r="G10">
        <v>0.1886326125466728</v>
      </c>
      <c r="H10">
        <v>0.1623059286667847</v>
      </c>
      <c r="I10">
        <v>2.6326683879888041E-2</v>
      </c>
      <c r="J10">
        <v>0.19616500407166121</v>
      </c>
      <c r="K10">
        <v>0.16231295806188931</v>
      </c>
      <c r="L10">
        <v>3.3852046009771992E-2</v>
      </c>
    </row>
    <row r="11" spans="1:15" x14ac:dyDescent="0.3">
      <c r="A11">
        <v>7</v>
      </c>
      <c r="B11">
        <v>2.1169929509355301</v>
      </c>
      <c r="C11">
        <v>0.49047848025275798</v>
      </c>
      <c r="D11">
        <v>0.40016099046423231</v>
      </c>
      <c r="E11">
        <v>0.22571597533731241</v>
      </c>
      <c r="F11">
        <v>0.42390069193562219</v>
      </c>
      <c r="G11">
        <v>0.29571612034979983</v>
      </c>
      <c r="H11">
        <v>0.23910666058530489</v>
      </c>
      <c r="I11">
        <v>5.6609459764494982E-2</v>
      </c>
      <c r="J11">
        <v>0.31355290614820852</v>
      </c>
      <c r="K11">
        <v>0.23910830618892509</v>
      </c>
      <c r="L11">
        <v>7.4444599959283389E-2</v>
      </c>
    </row>
    <row r="12" spans="1:15" x14ac:dyDescent="0.3">
      <c r="A12">
        <v>9</v>
      </c>
      <c r="B12">
        <v>2.7441068124527299</v>
      </c>
      <c r="C12">
        <v>0.68607506717829003</v>
      </c>
      <c r="D12">
        <v>0.5388090247198869</v>
      </c>
      <c r="E12">
        <v>0.34181055125921411</v>
      </c>
      <c r="F12">
        <v>0.58678059241406988</v>
      </c>
      <c r="G12">
        <v>0.48702138235716719</v>
      </c>
      <c r="H12">
        <v>0.37224283291381671</v>
      </c>
      <c r="I12">
        <v>0.1147785494433505</v>
      </c>
      <c r="J12">
        <v>0.55328468546416942</v>
      </c>
      <c r="K12">
        <v>0.3722484476791531</v>
      </c>
      <c r="L12">
        <v>0.18103623778501629</v>
      </c>
    </row>
    <row r="13" spans="1:15" x14ac:dyDescent="0.3">
      <c r="A13">
        <v>17</v>
      </c>
      <c r="B13">
        <v>3.7040628989628051</v>
      </c>
      <c r="C13">
        <v>1.041544574401938</v>
      </c>
      <c r="D13">
        <v>0.75658047095930936</v>
      </c>
      <c r="E13">
        <v>0.50113865183705264</v>
      </c>
      <c r="F13">
        <v>0.87835563652981929</v>
      </c>
      <c r="G13">
        <v>0.90112085974704237</v>
      </c>
      <c r="H13">
        <v>0.58179926183648978</v>
      </c>
      <c r="I13">
        <v>0.31932159791055248</v>
      </c>
      <c r="J13">
        <v>1.042730176099349</v>
      </c>
      <c r="K13">
        <v>0.58180540004071657</v>
      </c>
      <c r="L13">
        <v>0.46092477605863191</v>
      </c>
    </row>
    <row r="14" spans="1:15" x14ac:dyDescent="0.3">
      <c r="A14">
        <v>32</v>
      </c>
      <c r="B14">
        <v>4.8713311204635517</v>
      </c>
      <c r="C14">
        <v>1.716604924299123</v>
      </c>
      <c r="D14">
        <v>0.99981052286705485</v>
      </c>
      <c r="E14">
        <v>0.74639744123880114</v>
      </c>
      <c r="F14">
        <v>1.380336942349945</v>
      </c>
      <c r="G14">
        <v>2.5209147516753001</v>
      </c>
      <c r="H14">
        <v>1.0304752133063779</v>
      </c>
      <c r="I14">
        <v>1.490439538368922</v>
      </c>
      <c r="J14">
        <v>2.6349214932817588</v>
      </c>
      <c r="K14">
        <v>1.030480201547231</v>
      </c>
      <c r="L14">
        <v>1.6044412917345281</v>
      </c>
    </row>
    <row r="17" spans="3:11" x14ac:dyDescent="0.3">
      <c r="H17" s="5" t="s">
        <v>0</v>
      </c>
      <c r="I17" s="7" t="s">
        <v>125</v>
      </c>
      <c r="J17" s="7" t="s">
        <v>126</v>
      </c>
      <c r="K17" s="7" t="s">
        <v>124</v>
      </c>
    </row>
    <row r="18" spans="3:11" x14ac:dyDescent="0.3">
      <c r="C18" s="1" t="s">
        <v>7</v>
      </c>
      <c r="H18" s="2">
        <v>4</v>
      </c>
      <c r="I18" s="4">
        <v>0.99691607727343368</v>
      </c>
      <c r="J18" s="4">
        <v>0.75234319502417646</v>
      </c>
      <c r="K18" s="4">
        <v>0.97494250004046301</v>
      </c>
    </row>
    <row r="19" spans="3:11" x14ac:dyDescent="0.3">
      <c r="C19">
        <v>0.16615056542861961</v>
      </c>
      <c r="D19">
        <v>0.16615099999999999</v>
      </c>
      <c r="H19" s="2">
        <v>7</v>
      </c>
      <c r="I19" s="4">
        <v>0.99771787845298043</v>
      </c>
      <c r="J19" s="4">
        <v>0.76105545922437456</v>
      </c>
      <c r="K19" s="4">
        <v>0.96537321193832271</v>
      </c>
    </row>
    <row r="20" spans="3:11" x14ac:dyDescent="0.3">
      <c r="C20">
        <v>0.24508781251798201</v>
      </c>
      <c r="D20">
        <v>0.245088</v>
      </c>
      <c r="H20" s="2">
        <v>9</v>
      </c>
      <c r="I20" s="4">
        <v>0.99847856628946263</v>
      </c>
      <c r="J20" s="4">
        <v>0.60856469288209436</v>
      </c>
      <c r="K20" s="4">
        <v>0.91774897350070284</v>
      </c>
    </row>
    <row r="21" spans="3:11" x14ac:dyDescent="0.3">
      <c r="C21">
        <v>0.39047217420685387</v>
      </c>
      <c r="H21" s="2">
        <v>17</v>
      </c>
      <c r="I21" s="4">
        <v>0.99896067557133494</v>
      </c>
      <c r="J21" s="4">
        <v>0.67530791737592955</v>
      </c>
      <c r="K21" s="4">
        <v>0.90039167004092746</v>
      </c>
    </row>
    <row r="22" spans="3:11" x14ac:dyDescent="0.3">
      <c r="C22">
        <v>0.64087435441656537</v>
      </c>
      <c r="H22" s="2">
        <v>32</v>
      </c>
      <c r="I22" s="4">
        <v>0.99941539593296336</v>
      </c>
      <c r="J22" s="4">
        <v>0.91735914432003407</v>
      </c>
      <c r="K22" s="4">
        <v>0.96179976663930333</v>
      </c>
    </row>
    <row r="23" spans="3:11" x14ac:dyDescent="0.3">
      <c r="C23">
        <v>1.3139994238039761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3888-D947-40EE-B401-225784881C47}">
  <dimension ref="A1:J23"/>
  <sheetViews>
    <sheetView workbookViewId="0">
      <selection activeCell="E19" sqref="E19"/>
    </sheetView>
  </sheetViews>
  <sheetFormatPr baseColWidth="10" defaultRowHeight="14.4" x14ac:dyDescent="0.3"/>
  <cols>
    <col min="3" max="3" width="12" bestFit="1" customWidth="1"/>
    <col min="4" max="4" width="14.33203125" bestFit="1" customWidth="1"/>
    <col min="5" max="5" width="12.21875" bestFit="1" customWidth="1"/>
    <col min="6" max="7" width="15.44140625" customWidth="1"/>
    <col min="9" max="9" width="12.77734375" customWidth="1"/>
  </cols>
  <sheetData>
    <row r="1" spans="1:10" x14ac:dyDescent="0.3">
      <c r="A1" s="2"/>
      <c r="B1" s="11" t="s">
        <v>16</v>
      </c>
      <c r="C1" s="11"/>
      <c r="D1" s="11"/>
      <c r="E1" s="11" t="s">
        <v>14</v>
      </c>
      <c r="F1" s="11"/>
      <c r="G1" s="11"/>
      <c r="H1" s="11" t="s">
        <v>15</v>
      </c>
      <c r="I1" s="11"/>
      <c r="J1" s="11"/>
    </row>
    <row r="2" spans="1:10" x14ac:dyDescent="0.3">
      <c r="A2" s="1" t="s">
        <v>0</v>
      </c>
      <c r="B2" s="1" t="s">
        <v>12</v>
      </c>
      <c r="C2" s="1" t="s">
        <v>13</v>
      </c>
      <c r="D2" s="5" t="s">
        <v>17</v>
      </c>
      <c r="E2" s="1" t="s">
        <v>12</v>
      </c>
      <c r="F2" s="1" t="s">
        <v>13</v>
      </c>
      <c r="G2" s="5" t="s">
        <v>17</v>
      </c>
      <c r="H2" s="1" t="s">
        <v>12</v>
      </c>
      <c r="I2" s="1" t="s">
        <v>13</v>
      </c>
      <c r="J2" s="5" t="s">
        <v>18</v>
      </c>
    </row>
    <row r="3" spans="1:10" x14ac:dyDescent="0.3">
      <c r="A3" s="2">
        <v>4</v>
      </c>
      <c r="B3" s="4">
        <v>0.82260280944625408</v>
      </c>
      <c r="C3" s="4">
        <v>1.6926023004885991</v>
      </c>
      <c r="D3" s="3">
        <f>(C3-B3)/B3</f>
        <v>1.0576179427687544</v>
      </c>
      <c r="E3" s="4">
        <v>0.16666454600977201</v>
      </c>
      <c r="F3" s="4">
        <v>0.16231295806188931</v>
      </c>
      <c r="G3" s="3">
        <f>(F3-E3)/E3</f>
        <v>-2.610985990762283E-2</v>
      </c>
      <c r="H3" s="4">
        <v>1.645205618892508E-2</v>
      </c>
      <c r="I3" s="4">
        <v>3.3852046009771992E-2</v>
      </c>
      <c r="J3" s="3">
        <f>(I3-H3)/H3</f>
        <v>1.0576179427687553</v>
      </c>
    </row>
    <row r="4" spans="1:10" x14ac:dyDescent="0.3">
      <c r="A4" s="2">
        <v>7</v>
      </c>
      <c r="B4" s="4">
        <v>1.296251526872964</v>
      </c>
      <c r="C4" s="4">
        <v>2.4814866653094461</v>
      </c>
      <c r="D4" s="3">
        <f t="shared" ref="D4:D6" si="0">(C4-B4)/B4</f>
        <v>0.91435582822085903</v>
      </c>
      <c r="E4" s="4">
        <v>0.24564841205211729</v>
      </c>
      <c r="F4" s="4">
        <v>0.23910830618892509</v>
      </c>
      <c r="G4" s="3">
        <f t="shared" ref="G4:G7" si="1">(F4-E4)/E4</f>
        <v>-2.6623847508546645E-2</v>
      </c>
      <c r="H4" s="4">
        <v>3.8887545806188917E-2</v>
      </c>
      <c r="I4" s="4">
        <v>7.4444599959283389E-2</v>
      </c>
      <c r="J4" s="3">
        <f t="shared" ref="J4:J7" si="2">(I4-H4)/H4</f>
        <v>0.91435582822085937</v>
      </c>
    </row>
    <row r="5" spans="1:10" x14ac:dyDescent="0.3">
      <c r="A5" s="2">
        <v>9</v>
      </c>
      <c r="B5" s="4">
        <v>2.552740736970684</v>
      </c>
      <c r="C5" s="4">
        <v>4.5259059446254071</v>
      </c>
      <c r="D5" s="3">
        <f t="shared" si="0"/>
        <v>0.77295950155763238</v>
      </c>
      <c r="E5" s="4">
        <v>0.39106715696254069</v>
      </c>
      <c r="F5" s="4">
        <v>0.3722484476791531</v>
      </c>
      <c r="G5" s="3">
        <f t="shared" si="1"/>
        <v>-4.8121426073093054E-2</v>
      </c>
      <c r="H5" s="4">
        <v>0.1021096294788274</v>
      </c>
      <c r="I5" s="4">
        <v>0.18103623778501629</v>
      </c>
      <c r="J5" s="3">
        <f t="shared" si="2"/>
        <v>0.77295950155763171</v>
      </c>
    </row>
    <row r="6" spans="1:10" x14ac:dyDescent="0.3">
      <c r="A6" s="2">
        <v>17</v>
      </c>
      <c r="B6" s="4">
        <v>5.6188925081433228</v>
      </c>
      <c r="C6" s="4">
        <v>9.2184955211726383</v>
      </c>
      <c r="D6" s="3">
        <f t="shared" si="0"/>
        <v>0.64062499999999989</v>
      </c>
      <c r="E6" s="4">
        <v>0.64154112377850159</v>
      </c>
      <c r="F6" s="4">
        <v>0.58180540004071657</v>
      </c>
      <c r="G6" s="3">
        <f t="shared" si="1"/>
        <v>-9.3112852042840158E-2</v>
      </c>
      <c r="H6" s="4">
        <v>0.28094462540716608</v>
      </c>
      <c r="I6" s="4">
        <v>0.46092477605863191</v>
      </c>
      <c r="J6" s="3">
        <f t="shared" si="2"/>
        <v>0.64062500000000022</v>
      </c>
    </row>
    <row r="7" spans="1:10" x14ac:dyDescent="0.3">
      <c r="A7" s="2">
        <v>32</v>
      </c>
      <c r="B7" s="4">
        <v>22.257036339576551</v>
      </c>
      <c r="C7" s="4">
        <v>32.088825834690553</v>
      </c>
      <c r="D7" s="3">
        <f>(C7-B7)/B7</f>
        <v>0.44173848418585343</v>
      </c>
      <c r="E7" s="4">
        <v>1.3147680425488599</v>
      </c>
      <c r="F7" s="4">
        <v>1.030480201547231</v>
      </c>
      <c r="G7" s="3">
        <f t="shared" si="1"/>
        <v>-0.21622661321345901</v>
      </c>
      <c r="H7" s="4">
        <v>1.1128518169788271</v>
      </c>
      <c r="I7" s="4">
        <v>1.6044412917345281</v>
      </c>
      <c r="J7" s="3">
        <f t="shared" si="2"/>
        <v>0.44173848418585449</v>
      </c>
    </row>
    <row r="8" spans="1:10" x14ac:dyDescent="0.3">
      <c r="E8" s="6"/>
      <c r="F8" s="6"/>
    </row>
    <row r="9" spans="1:10" x14ac:dyDescent="0.3">
      <c r="E9" s="11" t="s">
        <v>14</v>
      </c>
      <c r="F9" s="11"/>
      <c r="G9" s="11"/>
      <c r="H9" s="11" t="s">
        <v>15</v>
      </c>
      <c r="I9" s="11"/>
      <c r="J9" s="11"/>
    </row>
    <row r="10" spans="1:10" x14ac:dyDescent="0.3">
      <c r="E10" s="1" t="s">
        <v>12</v>
      </c>
      <c r="F10" s="1" t="s">
        <v>13</v>
      </c>
      <c r="G10" s="5" t="s">
        <v>17</v>
      </c>
      <c r="H10" s="1" t="s">
        <v>12</v>
      </c>
      <c r="I10" s="1" t="s">
        <v>13</v>
      </c>
      <c r="J10" s="5" t="s">
        <v>18</v>
      </c>
    </row>
    <row r="11" spans="1:10" x14ac:dyDescent="0.3">
      <c r="E11" s="4">
        <v>0.16666454600977201</v>
      </c>
      <c r="F11" s="4">
        <v>0.16231295806188931</v>
      </c>
      <c r="G11" s="3">
        <f>(F11-E11)/E11</f>
        <v>-2.610985990762283E-2</v>
      </c>
      <c r="H11" s="4">
        <v>1.645205618892508E-2</v>
      </c>
      <c r="I11" s="4">
        <v>3.3852046009771992E-2</v>
      </c>
      <c r="J11" s="3">
        <f>(I11-H11)/H11</f>
        <v>1.0576179427687553</v>
      </c>
    </row>
    <row r="12" spans="1:10" x14ac:dyDescent="0.3">
      <c r="E12" s="4">
        <v>0.24564841205211729</v>
      </c>
      <c r="F12" s="4">
        <v>0.23910830618892509</v>
      </c>
      <c r="G12" s="3">
        <f t="shared" ref="G12:G15" si="3">(F12-E12)/E12</f>
        <v>-2.6623847508546645E-2</v>
      </c>
      <c r="H12" s="4">
        <v>3.8887545806188917E-2</v>
      </c>
      <c r="I12" s="4">
        <v>7.4444599959283389E-2</v>
      </c>
      <c r="J12" s="3">
        <f t="shared" ref="J12:J15" si="4">(I12-H12)/H12</f>
        <v>0.91435582822085937</v>
      </c>
    </row>
    <row r="13" spans="1:10" x14ac:dyDescent="0.3">
      <c r="E13" s="4">
        <v>0.39106715696254069</v>
      </c>
      <c r="F13" s="4">
        <v>0.3722484476791531</v>
      </c>
      <c r="G13" s="3">
        <f t="shared" si="3"/>
        <v>-4.8121426073093054E-2</v>
      </c>
      <c r="H13" s="4">
        <v>0.1021096294788274</v>
      </c>
      <c r="I13" s="4">
        <v>0.18103623778501629</v>
      </c>
      <c r="J13" s="3">
        <f t="shared" si="4"/>
        <v>0.77295950155763171</v>
      </c>
    </row>
    <row r="14" spans="1:10" x14ac:dyDescent="0.3">
      <c r="E14" s="4">
        <v>0.64154112377850159</v>
      </c>
      <c r="F14" s="4">
        <v>0.58180540004071657</v>
      </c>
      <c r="G14" s="3">
        <f t="shared" si="3"/>
        <v>-9.3112852042840158E-2</v>
      </c>
      <c r="H14" s="4">
        <v>0.28094462540716608</v>
      </c>
      <c r="I14" s="4">
        <v>0.46092477605863191</v>
      </c>
      <c r="J14" s="3">
        <f t="shared" si="4"/>
        <v>0.64062500000000022</v>
      </c>
    </row>
    <row r="15" spans="1:10" x14ac:dyDescent="0.3">
      <c r="E15" s="4">
        <v>1.3147680425488599</v>
      </c>
      <c r="F15" s="4">
        <v>1.030480201547231</v>
      </c>
      <c r="G15" s="3">
        <f t="shared" si="3"/>
        <v>-0.21622661321345901</v>
      </c>
      <c r="H15" s="4">
        <v>1.1128518169788271</v>
      </c>
      <c r="I15" s="4">
        <v>1.6044412917345281</v>
      </c>
      <c r="J15" s="3">
        <f t="shared" si="4"/>
        <v>0.44173848418585449</v>
      </c>
    </row>
    <row r="18" spans="3:5" x14ac:dyDescent="0.3">
      <c r="C18" s="1" t="s">
        <v>0</v>
      </c>
      <c r="D18" s="1" t="s">
        <v>127</v>
      </c>
      <c r="E18" s="1" t="s">
        <v>128</v>
      </c>
    </row>
    <row r="19" spans="3:5" x14ac:dyDescent="0.3">
      <c r="C19" s="2">
        <v>4</v>
      </c>
      <c r="D19" s="2">
        <v>0.1831166021986971</v>
      </c>
      <c r="E19" s="2">
        <v>0.19616500407166121</v>
      </c>
    </row>
    <row r="20" spans="3:5" x14ac:dyDescent="0.3">
      <c r="C20" s="2">
        <v>7</v>
      </c>
      <c r="D20" s="2">
        <v>0.28453595785830621</v>
      </c>
      <c r="E20" s="2">
        <v>0.31355290614820852</v>
      </c>
    </row>
    <row r="21" spans="3:5" x14ac:dyDescent="0.3">
      <c r="C21" s="2">
        <v>9</v>
      </c>
      <c r="D21" s="2">
        <v>0.49317678644136809</v>
      </c>
      <c r="E21" s="2">
        <v>0.55328468546416942</v>
      </c>
    </row>
    <row r="22" spans="3:5" x14ac:dyDescent="0.3">
      <c r="C22" s="2">
        <v>17</v>
      </c>
      <c r="D22" s="2">
        <v>0.92248574918566772</v>
      </c>
      <c r="E22" s="2">
        <v>1.042730176099349</v>
      </c>
    </row>
    <row r="23" spans="3:5" x14ac:dyDescent="0.3">
      <c r="C23" s="2">
        <v>32</v>
      </c>
      <c r="D23" s="2">
        <v>2.4276198595276872</v>
      </c>
      <c r="E23" s="2">
        <v>2.6349214932817588</v>
      </c>
    </row>
  </sheetData>
  <mergeCells count="5">
    <mergeCell ref="E9:G9"/>
    <mergeCell ref="H9:J9"/>
    <mergeCell ref="B1:D1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73A1-A9F7-4DB2-B495-7F12938E8FA8}">
  <dimension ref="A1:T47"/>
  <sheetViews>
    <sheetView topLeftCell="A6" workbookViewId="0">
      <selection activeCell="B2" sqref="B2:B32"/>
    </sheetView>
  </sheetViews>
  <sheetFormatPr baseColWidth="10" defaultRowHeight="14.4" x14ac:dyDescent="0.3"/>
  <cols>
    <col min="1" max="1" width="91.6640625" bestFit="1" customWidth="1"/>
    <col min="2" max="2" width="57.21875" bestFit="1" customWidth="1"/>
    <col min="3" max="3" width="31.44140625" bestFit="1" customWidth="1"/>
    <col min="4" max="4" width="17.109375" bestFit="1" customWidth="1"/>
    <col min="5" max="5" width="18.109375" bestFit="1" customWidth="1"/>
    <col min="6" max="6" width="20.44140625" bestFit="1" customWidth="1"/>
    <col min="7" max="7" width="13.44140625" bestFit="1" customWidth="1"/>
    <col min="8" max="8" width="23" bestFit="1" customWidth="1"/>
    <col min="9" max="9" width="18.88671875" bestFit="1" customWidth="1"/>
    <col min="10" max="10" width="22.6640625" bestFit="1" customWidth="1"/>
    <col min="11" max="11" width="26.6640625" bestFit="1" customWidth="1"/>
    <col min="12" max="12" width="28.88671875" bestFit="1" customWidth="1"/>
    <col min="13" max="13" width="12.21875" bestFit="1" customWidth="1"/>
    <col min="14" max="14" width="20.77734375" customWidth="1"/>
    <col min="15" max="15" width="21.6640625" bestFit="1" customWidth="1"/>
    <col min="16" max="18" width="36.88671875" bestFit="1" customWidth="1"/>
    <col min="19" max="20" width="15.5546875" bestFit="1" customWidth="1"/>
  </cols>
  <sheetData>
    <row r="1" spans="1:20" x14ac:dyDescent="0.3">
      <c r="A1" t="s">
        <v>62</v>
      </c>
      <c r="B1" t="s">
        <v>19</v>
      </c>
      <c r="C1" t="s">
        <v>63</v>
      </c>
      <c r="D1" t="s">
        <v>64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</row>
    <row r="2" spans="1:20" x14ac:dyDescent="0.3">
      <c r="A2" t="s">
        <v>72</v>
      </c>
      <c r="B2" t="s">
        <v>47</v>
      </c>
      <c r="C2" t="s">
        <v>65</v>
      </c>
      <c r="D2">
        <v>54353000000.000038</v>
      </c>
      <c r="E2" t="s">
        <v>36</v>
      </c>
      <c r="F2" t="s">
        <v>37</v>
      </c>
      <c r="G2" t="s">
        <v>38</v>
      </c>
      <c r="H2">
        <v>54899</v>
      </c>
      <c r="I2">
        <v>5726297382465983</v>
      </c>
      <c r="J2" t="b">
        <v>1</v>
      </c>
      <c r="K2">
        <v>69450773</v>
      </c>
      <c r="L2">
        <v>2251959</v>
      </c>
      <c r="M2">
        <v>1</v>
      </c>
      <c r="N2">
        <v>1.39706331433224</v>
      </c>
      <c r="O2">
        <v>3.5789358640412392E+16</v>
      </c>
      <c r="P2">
        <v>2651320710352509</v>
      </c>
      <c r="Q2">
        <v>-1</v>
      </c>
      <c r="R2">
        <v>-1</v>
      </c>
      <c r="S2" s="8">
        <v>46169.352428703707</v>
      </c>
      <c r="T2" s="8">
        <v>46169.352428831022</v>
      </c>
    </row>
    <row r="3" spans="1:20" x14ac:dyDescent="0.3">
      <c r="A3" t="s">
        <v>73</v>
      </c>
      <c r="B3" t="s">
        <v>47</v>
      </c>
      <c r="C3" t="s">
        <v>67</v>
      </c>
      <c r="D3">
        <v>57573999999.997742</v>
      </c>
      <c r="E3" t="s">
        <v>41</v>
      </c>
      <c r="F3" t="s">
        <v>42</v>
      </c>
      <c r="G3" t="s">
        <v>38</v>
      </c>
      <c r="H3">
        <v>54724</v>
      </c>
      <c r="I3">
        <v>5744609312184782</v>
      </c>
      <c r="J3" t="b">
        <v>1</v>
      </c>
      <c r="K3">
        <v>71995543</v>
      </c>
      <c r="L3">
        <v>29572965</v>
      </c>
      <c r="M3">
        <v>1</v>
      </c>
      <c r="N3">
        <v>1.39260993485342</v>
      </c>
      <c r="O3">
        <v>3.5903808201154884E+16</v>
      </c>
      <c r="P3">
        <v>2.6597992777874864E+16</v>
      </c>
      <c r="Q3">
        <v>-1</v>
      </c>
      <c r="R3">
        <v>-1</v>
      </c>
      <c r="S3" s="8">
        <v>46169.352430590276</v>
      </c>
      <c r="T3" s="8">
        <v>46169.352430613428</v>
      </c>
    </row>
    <row r="4" spans="1:20" x14ac:dyDescent="0.3">
      <c r="A4" t="s">
        <v>74</v>
      </c>
      <c r="B4" t="s">
        <v>47</v>
      </c>
      <c r="C4" t="s">
        <v>71</v>
      </c>
      <c r="D4">
        <v>270279999999.98386</v>
      </c>
      <c r="E4" t="s">
        <v>46</v>
      </c>
      <c r="F4" t="s">
        <v>42</v>
      </c>
      <c r="G4" t="s">
        <v>38</v>
      </c>
      <c r="H4">
        <v>43996</v>
      </c>
      <c r="I4">
        <v>7145376852441131</v>
      </c>
      <c r="J4" t="b">
        <v>1</v>
      </c>
      <c r="K4">
        <v>79751932</v>
      </c>
      <c r="L4">
        <v>6220657</v>
      </c>
      <c r="M4">
        <v>1</v>
      </c>
      <c r="N4">
        <v>1.1196050488599301</v>
      </c>
      <c r="O4">
        <v>4465860532775707</v>
      </c>
      <c r="P4">
        <v>3.3083656622793524E+16</v>
      </c>
      <c r="Q4">
        <v>-1</v>
      </c>
      <c r="R4">
        <v>-1</v>
      </c>
      <c r="S4" s="8">
        <v>46169.352443101852</v>
      </c>
      <c r="T4" s="8">
        <v>46169.352443194446</v>
      </c>
    </row>
    <row r="5" spans="1:20" x14ac:dyDescent="0.3">
      <c r="A5" t="s">
        <v>75</v>
      </c>
      <c r="B5" t="s">
        <v>47</v>
      </c>
      <c r="C5" t="s">
        <v>69</v>
      </c>
      <c r="D5">
        <v>52700999999.998749</v>
      </c>
      <c r="E5" t="s">
        <v>44</v>
      </c>
      <c r="F5" t="s">
        <v>37</v>
      </c>
      <c r="G5" t="s">
        <v>38</v>
      </c>
      <c r="H5">
        <v>54528</v>
      </c>
      <c r="I5">
        <v>5765258215962441</v>
      </c>
      <c r="J5" t="b">
        <v>1</v>
      </c>
      <c r="K5">
        <v>144306961</v>
      </c>
      <c r="L5">
        <v>15526544</v>
      </c>
      <c r="M5">
        <v>1</v>
      </c>
      <c r="N5">
        <v>1.3876221498371299</v>
      </c>
      <c r="O5">
        <v>3603286384976526</v>
      </c>
      <c r="P5">
        <v>2.6693598825858716E+16</v>
      </c>
      <c r="Q5">
        <v>-1</v>
      </c>
      <c r="R5">
        <v>-1</v>
      </c>
      <c r="S5" s="8">
        <v>46169.352433553242</v>
      </c>
      <c r="T5" s="8">
        <v>46169.352433692133</v>
      </c>
    </row>
    <row r="6" spans="1:20" x14ac:dyDescent="0.3">
      <c r="A6" t="s">
        <v>76</v>
      </c>
      <c r="B6" t="s">
        <v>47</v>
      </c>
      <c r="C6" t="s">
        <v>77</v>
      </c>
      <c r="D6">
        <v>29829000000.002048</v>
      </c>
      <c r="E6" t="s">
        <v>48</v>
      </c>
      <c r="F6" t="s">
        <v>42</v>
      </c>
      <c r="G6" t="s">
        <v>38</v>
      </c>
      <c r="H6">
        <v>54898</v>
      </c>
      <c r="I6">
        <v>5726401690407665</v>
      </c>
      <c r="J6" t="b">
        <v>1</v>
      </c>
      <c r="K6">
        <v>238664065</v>
      </c>
      <c r="L6">
        <v>2021951</v>
      </c>
      <c r="M6">
        <v>1</v>
      </c>
      <c r="N6">
        <v>1.39703786644951</v>
      </c>
      <c r="O6">
        <v>3.5790010565047904E+16</v>
      </c>
      <c r="P6">
        <v>2651369005749616</v>
      </c>
      <c r="Q6">
        <v>-1</v>
      </c>
      <c r="R6">
        <v>-1</v>
      </c>
      <c r="S6" s="8">
        <v>46169.551392743058</v>
      </c>
      <c r="T6" s="8">
        <v>46169.551392777779</v>
      </c>
    </row>
    <row r="7" spans="1:20" x14ac:dyDescent="0.3">
      <c r="A7" t="s">
        <v>78</v>
      </c>
      <c r="B7" t="s">
        <v>47</v>
      </c>
      <c r="C7" t="s">
        <v>79</v>
      </c>
      <c r="D7">
        <v>18499000000.00515</v>
      </c>
      <c r="E7" t="s">
        <v>49</v>
      </c>
      <c r="F7" t="s">
        <v>37</v>
      </c>
      <c r="G7" t="s">
        <v>38</v>
      </c>
      <c r="H7">
        <v>74217</v>
      </c>
      <c r="I7">
        <v>4235795033482895</v>
      </c>
      <c r="J7" t="b">
        <v>1</v>
      </c>
      <c r="K7">
        <v>28373302</v>
      </c>
      <c r="L7">
        <v>3172929</v>
      </c>
      <c r="M7">
        <v>1</v>
      </c>
      <c r="N7">
        <v>1.88866551302931</v>
      </c>
      <c r="O7">
        <v>2.6473718959268092E+16</v>
      </c>
      <c r="P7">
        <v>1961206403891863</v>
      </c>
      <c r="Q7">
        <v>-1</v>
      </c>
      <c r="R7">
        <v>-1</v>
      </c>
      <c r="S7" s="8">
        <v>46169.551389131942</v>
      </c>
      <c r="T7" s="8">
        <v>46169.551389293978</v>
      </c>
    </row>
    <row r="8" spans="1:20" x14ac:dyDescent="0.3">
      <c r="A8" t="s">
        <v>80</v>
      </c>
      <c r="B8" t="s">
        <v>50</v>
      </c>
      <c r="C8" t="s">
        <v>81</v>
      </c>
      <c r="D8">
        <v>3003859999999</v>
      </c>
      <c r="E8" t="s">
        <v>51</v>
      </c>
      <c r="F8" t="s">
        <v>52</v>
      </c>
      <c r="G8" t="s">
        <v>38</v>
      </c>
      <c r="H8">
        <v>61534</v>
      </c>
      <c r="I8">
        <v>5.1088503916533944E+16</v>
      </c>
      <c r="J8" t="b">
        <v>1</v>
      </c>
      <c r="K8">
        <v>11</v>
      </c>
      <c r="L8">
        <v>21</v>
      </c>
      <c r="M8">
        <v>1</v>
      </c>
      <c r="N8">
        <v>1.5659100162866399</v>
      </c>
      <c r="O8">
        <v>1.2772125979133486E+16</v>
      </c>
      <c r="P8">
        <v>9833107957286752</v>
      </c>
      <c r="Q8">
        <v>-1</v>
      </c>
      <c r="R8">
        <v>-1</v>
      </c>
      <c r="S8" s="8">
        <v>46176.701999016201</v>
      </c>
      <c r="T8" s="8">
        <v>46176.701999293982</v>
      </c>
    </row>
    <row r="9" spans="1:20" x14ac:dyDescent="0.3">
      <c r="A9" t="s">
        <v>82</v>
      </c>
      <c r="B9" t="s">
        <v>50</v>
      </c>
      <c r="C9" t="s">
        <v>66</v>
      </c>
      <c r="D9">
        <v>230169</v>
      </c>
      <c r="E9" t="s">
        <v>39</v>
      </c>
      <c r="F9" t="s">
        <v>40</v>
      </c>
      <c r="G9" t="s">
        <v>38</v>
      </c>
      <c r="H9">
        <v>15289</v>
      </c>
      <c r="I9">
        <v>2.0561711034076788E+16</v>
      </c>
      <c r="J9" t="b">
        <v>1</v>
      </c>
      <c r="K9">
        <v>78489625</v>
      </c>
      <c r="L9">
        <v>9083814</v>
      </c>
      <c r="M9">
        <v>1</v>
      </c>
      <c r="N9">
        <v>0.38907267915309401</v>
      </c>
      <c r="O9">
        <v>5140427758519197</v>
      </c>
      <c r="P9">
        <v>3.9575542222753816E+16</v>
      </c>
      <c r="Q9">
        <v>-1</v>
      </c>
      <c r="R9">
        <v>-1</v>
      </c>
      <c r="S9" s="8">
        <v>46176.701988645837</v>
      </c>
      <c r="T9" s="8">
        <v>46176.701988668981</v>
      </c>
    </row>
    <row r="10" spans="1:20" x14ac:dyDescent="0.3">
      <c r="A10" t="s">
        <v>83</v>
      </c>
      <c r="B10" t="s">
        <v>50</v>
      </c>
      <c r="C10" t="s">
        <v>84</v>
      </c>
      <c r="D10">
        <v>229491</v>
      </c>
      <c r="E10" t="s">
        <v>53</v>
      </c>
      <c r="F10" t="s">
        <v>52</v>
      </c>
      <c r="G10" t="s">
        <v>38</v>
      </c>
      <c r="H10">
        <v>64845</v>
      </c>
      <c r="I10">
        <v>4847991364021898</v>
      </c>
      <c r="J10" t="b">
        <v>1</v>
      </c>
      <c r="K10">
        <v>5</v>
      </c>
      <c r="L10">
        <v>4</v>
      </c>
      <c r="M10">
        <v>1</v>
      </c>
      <c r="N10">
        <v>1.65016795602605</v>
      </c>
      <c r="O10">
        <v>1.2119978410054746E+16</v>
      </c>
      <c r="P10">
        <v>9331027296533012</v>
      </c>
      <c r="Q10">
        <v>-1</v>
      </c>
      <c r="R10">
        <v>-1</v>
      </c>
      <c r="S10" s="8">
        <v>46176.701991562499</v>
      </c>
      <c r="T10" s="8">
        <v>46176.70199159722</v>
      </c>
    </row>
    <row r="11" spans="1:20" x14ac:dyDescent="0.3">
      <c r="A11" t="s">
        <v>85</v>
      </c>
      <c r="B11" t="s">
        <v>50</v>
      </c>
      <c r="C11" t="s">
        <v>86</v>
      </c>
      <c r="D11">
        <v>76316999999.992416</v>
      </c>
      <c r="E11" t="s">
        <v>54</v>
      </c>
      <c r="F11" t="s">
        <v>55</v>
      </c>
      <c r="G11" t="s">
        <v>38</v>
      </c>
      <c r="H11">
        <v>13957</v>
      </c>
      <c r="I11">
        <v>2252403811707387</v>
      </c>
      <c r="J11" t="b">
        <v>1</v>
      </c>
      <c r="K11">
        <v>2</v>
      </c>
      <c r="L11">
        <v>2</v>
      </c>
      <c r="M11">
        <v>1</v>
      </c>
      <c r="N11">
        <v>0.355176099348534</v>
      </c>
      <c r="O11">
        <v>5631009529268468</v>
      </c>
      <c r="P11">
        <v>4335247295577008</v>
      </c>
      <c r="Q11">
        <v>-1</v>
      </c>
      <c r="R11">
        <v>-1</v>
      </c>
      <c r="S11" s="8">
        <v>46176.701991134258</v>
      </c>
      <c r="T11" s="8">
        <v>46176.701991192131</v>
      </c>
    </row>
    <row r="12" spans="1:20" x14ac:dyDescent="0.3">
      <c r="A12" t="s">
        <v>87</v>
      </c>
      <c r="B12" t="s">
        <v>50</v>
      </c>
      <c r="C12" t="s">
        <v>68</v>
      </c>
      <c r="D12">
        <v>18101</v>
      </c>
      <c r="E12" t="s">
        <v>43</v>
      </c>
      <c r="F12" t="s">
        <v>40</v>
      </c>
      <c r="G12" t="s">
        <v>38</v>
      </c>
      <c r="H12">
        <v>19534</v>
      </c>
      <c r="I12">
        <v>1.6093375652708096E+16</v>
      </c>
      <c r="J12" t="b">
        <v>1</v>
      </c>
      <c r="K12">
        <v>21990295</v>
      </c>
      <c r="L12">
        <v>1754723</v>
      </c>
      <c r="M12">
        <v>1</v>
      </c>
      <c r="N12">
        <v>0.49709894136807797</v>
      </c>
      <c r="O12">
        <v>4023343913177024</v>
      </c>
      <c r="P12">
        <v>3097524649553</v>
      </c>
      <c r="Q12">
        <v>-1</v>
      </c>
      <c r="R12">
        <v>-1</v>
      </c>
      <c r="S12" s="8">
        <v>46176.701989027781</v>
      </c>
      <c r="T12" s="8">
        <v>46176.701989085646</v>
      </c>
    </row>
    <row r="13" spans="1:20" x14ac:dyDescent="0.3">
      <c r="A13" t="s">
        <v>88</v>
      </c>
      <c r="B13" t="s">
        <v>50</v>
      </c>
      <c r="C13" t="s">
        <v>70</v>
      </c>
      <c r="D13">
        <v>30596000000.00079</v>
      </c>
      <c r="E13" t="s">
        <v>45</v>
      </c>
      <c r="F13" t="s">
        <v>40</v>
      </c>
      <c r="G13" t="s">
        <v>38</v>
      </c>
      <c r="H13">
        <v>15904</v>
      </c>
      <c r="I13">
        <v>1.9766599597585516E+16</v>
      </c>
      <c r="J13" t="b">
        <v>1</v>
      </c>
      <c r="K13">
        <v>268075755</v>
      </c>
      <c r="L13">
        <v>17653588</v>
      </c>
      <c r="M13">
        <v>1</v>
      </c>
      <c r="N13">
        <v>0.40472312703583002</v>
      </c>
      <c r="O13">
        <v>4941649899396379</v>
      </c>
      <c r="P13">
        <v>3804517511592575</v>
      </c>
      <c r="Q13">
        <v>-1</v>
      </c>
      <c r="R13">
        <v>-1</v>
      </c>
      <c r="S13" s="8">
        <v>46176.701991921298</v>
      </c>
      <c r="T13" s="8">
        <v>46176.701991979164</v>
      </c>
    </row>
    <row r="14" spans="1:20" x14ac:dyDescent="0.3">
      <c r="A14" t="s">
        <v>89</v>
      </c>
      <c r="B14" t="s">
        <v>50</v>
      </c>
      <c r="C14" t="s">
        <v>56</v>
      </c>
      <c r="D14">
        <v>76059999999.99585</v>
      </c>
      <c r="E14" t="s">
        <v>56</v>
      </c>
      <c r="F14" t="s">
        <v>52</v>
      </c>
      <c r="G14" t="s">
        <v>38</v>
      </c>
      <c r="H14">
        <v>314368</v>
      </c>
      <c r="I14">
        <v>10</v>
      </c>
      <c r="J14" t="b">
        <v>1</v>
      </c>
      <c r="K14">
        <v>35261721</v>
      </c>
      <c r="L14">
        <v>778485</v>
      </c>
      <c r="M14">
        <v>1</v>
      </c>
      <c r="N14">
        <v>8</v>
      </c>
      <c r="O14">
        <v>25</v>
      </c>
      <c r="P14">
        <v>1924720280192904</v>
      </c>
      <c r="Q14">
        <v>-1</v>
      </c>
      <c r="R14">
        <v>-1</v>
      </c>
      <c r="S14" s="8">
        <v>46176.701989606481</v>
      </c>
      <c r="T14" s="8">
        <v>46176.701989664354</v>
      </c>
    </row>
    <row r="15" spans="1:20" x14ac:dyDescent="0.3">
      <c r="A15" t="s">
        <v>90</v>
      </c>
      <c r="B15" t="s">
        <v>47</v>
      </c>
      <c r="C15" t="s">
        <v>81</v>
      </c>
      <c r="D15">
        <v>18759999999.999611</v>
      </c>
      <c r="E15" t="s">
        <v>51</v>
      </c>
      <c r="F15" t="s">
        <v>52</v>
      </c>
      <c r="G15" t="s">
        <v>38</v>
      </c>
      <c r="H15">
        <v>146582</v>
      </c>
      <c r="I15">
        <v>2.1446562333710824E+16</v>
      </c>
      <c r="J15" t="b">
        <v>1</v>
      </c>
      <c r="K15">
        <v>11</v>
      </c>
      <c r="L15">
        <v>19</v>
      </c>
      <c r="M15">
        <v>1</v>
      </c>
      <c r="N15">
        <v>3.7302015472312702</v>
      </c>
      <c r="O15">
        <v>1.3404101458569264E+16</v>
      </c>
      <c r="P15">
        <v>9929926981323928</v>
      </c>
      <c r="Q15">
        <v>-1</v>
      </c>
      <c r="R15">
        <v>-1</v>
      </c>
      <c r="S15" s="8">
        <v>46170.449745335645</v>
      </c>
      <c r="T15" s="8">
        <v>46170.449745370373</v>
      </c>
    </row>
    <row r="16" spans="1:20" x14ac:dyDescent="0.3">
      <c r="A16" t="s">
        <v>91</v>
      </c>
      <c r="B16" t="s">
        <v>47</v>
      </c>
      <c r="C16" t="s">
        <v>66</v>
      </c>
      <c r="D16">
        <v>47264999999.999458</v>
      </c>
      <c r="E16" t="s">
        <v>39</v>
      </c>
      <c r="F16" t="s">
        <v>40</v>
      </c>
      <c r="G16" t="s">
        <v>38</v>
      </c>
      <c r="H16">
        <v>54724</v>
      </c>
      <c r="I16">
        <v>5744609312184782</v>
      </c>
      <c r="J16" t="b">
        <v>1</v>
      </c>
      <c r="K16">
        <v>36347507</v>
      </c>
      <c r="L16">
        <v>27254813</v>
      </c>
      <c r="M16">
        <v>1</v>
      </c>
      <c r="N16">
        <v>1.39260993485342</v>
      </c>
      <c r="O16">
        <v>3.5903808201154884E+16</v>
      </c>
      <c r="P16">
        <v>2.6597992777874864E+16</v>
      </c>
      <c r="Q16">
        <v>-1</v>
      </c>
      <c r="R16">
        <v>-1</v>
      </c>
      <c r="S16" s="8">
        <v>46169.352429004626</v>
      </c>
      <c r="T16" s="8">
        <v>46169.352429039354</v>
      </c>
    </row>
    <row r="17" spans="1:20" x14ac:dyDescent="0.3">
      <c r="A17" t="s">
        <v>92</v>
      </c>
      <c r="B17" t="s">
        <v>47</v>
      </c>
      <c r="C17" t="s">
        <v>84</v>
      </c>
      <c r="D17">
        <v>40754999999.999962</v>
      </c>
      <c r="E17" t="s">
        <v>53</v>
      </c>
      <c r="F17" t="s">
        <v>52</v>
      </c>
      <c r="G17" t="s">
        <v>38</v>
      </c>
      <c r="H17">
        <v>147798</v>
      </c>
      <c r="I17">
        <v>2.1270111909498096E+16</v>
      </c>
      <c r="J17" t="b">
        <v>1</v>
      </c>
      <c r="K17">
        <v>5</v>
      </c>
      <c r="L17">
        <v>9</v>
      </c>
      <c r="M17">
        <v>1</v>
      </c>
      <c r="N17">
        <v>3.7611461726384299</v>
      </c>
      <c r="O17">
        <v>1.3293819943436312E+16</v>
      </c>
      <c r="P17">
        <v>9848229047594852</v>
      </c>
      <c r="Q17">
        <v>-1</v>
      </c>
      <c r="R17">
        <v>-1</v>
      </c>
      <c r="S17" s="8">
        <v>46176.701994594907</v>
      </c>
      <c r="T17" s="8">
        <v>46176.701994699077</v>
      </c>
    </row>
    <row r="18" spans="1:20" x14ac:dyDescent="0.3">
      <c r="A18" t="s">
        <v>93</v>
      </c>
      <c r="B18" t="s">
        <v>47</v>
      </c>
      <c r="C18" t="s">
        <v>86</v>
      </c>
      <c r="D18">
        <v>60346000000.002792</v>
      </c>
      <c r="E18" t="s">
        <v>54</v>
      </c>
      <c r="F18" t="s">
        <v>55</v>
      </c>
      <c r="G18" t="s">
        <v>38</v>
      </c>
      <c r="H18">
        <v>66336</v>
      </c>
      <c r="I18">
        <v>4739025566811384</v>
      </c>
      <c r="J18" t="b">
        <v>1</v>
      </c>
      <c r="K18">
        <v>6</v>
      </c>
      <c r="L18">
        <v>2</v>
      </c>
      <c r="M18">
        <v>1</v>
      </c>
      <c r="N18">
        <v>1.68811074918566</v>
      </c>
      <c r="O18">
        <v>2961890979257116</v>
      </c>
      <c r="P18">
        <v>2.1942060974077784E+16</v>
      </c>
      <c r="Q18">
        <v>-1</v>
      </c>
      <c r="R18">
        <v>-1</v>
      </c>
      <c r="S18" s="8">
        <v>46169.551390983797</v>
      </c>
      <c r="T18" s="8">
        <v>46169.55139104167</v>
      </c>
    </row>
    <row r="19" spans="1:20" x14ac:dyDescent="0.3">
      <c r="A19" t="s">
        <v>94</v>
      </c>
      <c r="B19" t="s">
        <v>47</v>
      </c>
      <c r="C19" t="s">
        <v>68</v>
      </c>
      <c r="D19">
        <v>26464000000.000351</v>
      </c>
      <c r="E19" t="s">
        <v>43</v>
      </c>
      <c r="F19" t="s">
        <v>40</v>
      </c>
      <c r="G19" t="s">
        <v>38</v>
      </c>
      <c r="H19">
        <v>60110</v>
      </c>
      <c r="I19">
        <v>5229878555980702</v>
      </c>
      <c r="J19" t="b">
        <v>1</v>
      </c>
      <c r="K19">
        <v>10011009</v>
      </c>
      <c r="L19">
        <v>6852724</v>
      </c>
      <c r="M19">
        <v>1</v>
      </c>
      <c r="N19">
        <v>1.5296722312703499</v>
      </c>
      <c r="O19">
        <v>3268674097487939</v>
      </c>
      <c r="P19">
        <v>2421474890661161</v>
      </c>
      <c r="Q19">
        <v>-1</v>
      </c>
      <c r="R19">
        <v>-1</v>
      </c>
      <c r="S19" s="8">
        <v>46169.352432013889</v>
      </c>
      <c r="T19" s="8">
        <v>46169.352432060186</v>
      </c>
    </row>
    <row r="20" spans="1:20" x14ac:dyDescent="0.3">
      <c r="A20" t="s">
        <v>95</v>
      </c>
      <c r="B20" t="s">
        <v>47</v>
      </c>
      <c r="C20" t="s">
        <v>70</v>
      </c>
      <c r="D20">
        <v>29379999999.998989</v>
      </c>
      <c r="E20" t="s">
        <v>45</v>
      </c>
      <c r="F20" t="s">
        <v>40</v>
      </c>
      <c r="G20" t="s">
        <v>38</v>
      </c>
      <c r="H20">
        <v>45900</v>
      </c>
      <c r="I20">
        <v>6848976034858388</v>
      </c>
      <c r="J20" t="b">
        <v>1</v>
      </c>
      <c r="K20">
        <v>593242021</v>
      </c>
      <c r="L20">
        <v>10549043</v>
      </c>
      <c r="M20">
        <v>1</v>
      </c>
      <c r="N20">
        <v>1.1680578175895699</v>
      </c>
      <c r="O20">
        <v>4280610021786492</v>
      </c>
      <c r="P20">
        <v>3.1711297533255424E+16</v>
      </c>
      <c r="Q20">
        <v>-1</v>
      </c>
      <c r="R20">
        <v>-1</v>
      </c>
      <c r="S20" s="8">
        <v>46169.352439456015</v>
      </c>
      <c r="T20" s="8">
        <v>46169.352439502312</v>
      </c>
    </row>
    <row r="21" spans="1:20" x14ac:dyDescent="0.3">
      <c r="A21" t="s">
        <v>96</v>
      </c>
      <c r="B21" t="s">
        <v>47</v>
      </c>
      <c r="C21" t="s">
        <v>56</v>
      </c>
      <c r="D21">
        <v>36177999999.997818</v>
      </c>
      <c r="E21" t="s">
        <v>56</v>
      </c>
      <c r="F21" t="s">
        <v>52</v>
      </c>
      <c r="G21" t="s">
        <v>38</v>
      </c>
      <c r="H21">
        <v>314368</v>
      </c>
      <c r="I21">
        <v>10</v>
      </c>
      <c r="J21" t="b">
        <v>1</v>
      </c>
      <c r="K21">
        <v>20021524</v>
      </c>
      <c r="L21">
        <v>544555</v>
      </c>
      <c r="M21">
        <v>1</v>
      </c>
      <c r="N21">
        <v>8</v>
      </c>
      <c r="O21">
        <v>625</v>
      </c>
      <c r="P21">
        <v>4630078623703506</v>
      </c>
      <c r="Q21">
        <v>-1</v>
      </c>
      <c r="R21">
        <v>-1</v>
      </c>
      <c r="S21" s="8">
        <v>46176.701991400463</v>
      </c>
      <c r="T21" s="8">
        <v>46176.701991898146</v>
      </c>
    </row>
    <row r="22" spans="1:20" x14ac:dyDescent="0.3">
      <c r="A22" t="s">
        <v>97</v>
      </c>
      <c r="B22" t="s">
        <v>57</v>
      </c>
      <c r="C22" t="s">
        <v>81</v>
      </c>
      <c r="D22">
        <v>94026000000.000534</v>
      </c>
      <c r="E22" t="s">
        <v>51</v>
      </c>
      <c r="F22" t="s">
        <v>52</v>
      </c>
      <c r="G22" t="s">
        <v>38</v>
      </c>
      <c r="H22">
        <v>192451</v>
      </c>
      <c r="I22">
        <v>1.6334963185434216E+16</v>
      </c>
      <c r="J22" t="b">
        <v>1</v>
      </c>
      <c r="K22">
        <v>14</v>
      </c>
      <c r="L22">
        <v>29</v>
      </c>
      <c r="M22">
        <v>1</v>
      </c>
      <c r="N22">
        <v>4.8974704804560201</v>
      </c>
      <c r="O22">
        <v>1.0209351990896384E+16</v>
      </c>
      <c r="P22">
        <v>9946626814604016</v>
      </c>
      <c r="Q22">
        <v>-1</v>
      </c>
      <c r="R22">
        <v>-1</v>
      </c>
      <c r="S22" s="8">
        <v>46176.702006030093</v>
      </c>
      <c r="T22" s="8">
        <v>46176.702006111111</v>
      </c>
    </row>
    <row r="23" spans="1:20" x14ac:dyDescent="0.3">
      <c r="A23" t="s">
        <v>98</v>
      </c>
      <c r="B23" t="s">
        <v>57</v>
      </c>
      <c r="C23" t="s">
        <v>66</v>
      </c>
      <c r="D23">
        <v>28581999999.999222</v>
      </c>
      <c r="E23" t="s">
        <v>39</v>
      </c>
      <c r="F23" t="s">
        <v>40</v>
      </c>
      <c r="G23" t="s">
        <v>38</v>
      </c>
      <c r="H23">
        <v>104423</v>
      </c>
      <c r="I23">
        <v>3010524501307183</v>
      </c>
      <c r="J23" t="b">
        <v>1</v>
      </c>
      <c r="K23">
        <v>71543602</v>
      </c>
      <c r="L23">
        <v>54828882</v>
      </c>
      <c r="M23">
        <v>1</v>
      </c>
      <c r="N23">
        <v>2.6573442589576501</v>
      </c>
      <c r="O23">
        <v>1.8815778133169896E+16</v>
      </c>
      <c r="P23">
        <v>1833157711516962</v>
      </c>
      <c r="Q23">
        <v>-1</v>
      </c>
      <c r="R23">
        <v>-1</v>
      </c>
      <c r="S23" s="8">
        <v>46176.701993298608</v>
      </c>
      <c r="T23" s="8">
        <v>46176.701993356481</v>
      </c>
    </row>
    <row r="24" spans="1:20" x14ac:dyDescent="0.3">
      <c r="A24" t="s">
        <v>99</v>
      </c>
      <c r="B24" t="s">
        <v>57</v>
      </c>
      <c r="C24" t="s">
        <v>84</v>
      </c>
      <c r="D24">
        <v>341109999999.99866</v>
      </c>
      <c r="E24" t="s">
        <v>53</v>
      </c>
      <c r="F24" t="s">
        <v>52</v>
      </c>
      <c r="G24" t="s">
        <v>38</v>
      </c>
      <c r="H24">
        <v>193227</v>
      </c>
      <c r="I24">
        <v>1.6269361942171644E+16</v>
      </c>
      <c r="J24" t="b">
        <v>1</v>
      </c>
      <c r="K24">
        <v>5</v>
      </c>
      <c r="L24">
        <v>12</v>
      </c>
      <c r="M24">
        <v>1</v>
      </c>
      <c r="N24">
        <v>4.9172180374592802</v>
      </c>
      <c r="O24">
        <v>1.0168351213857276E+16</v>
      </c>
      <c r="P24">
        <v>9906681142373256</v>
      </c>
      <c r="Q24">
        <v>-1</v>
      </c>
      <c r="R24">
        <v>-1</v>
      </c>
      <c r="S24" s="8">
        <v>46176.701997800927</v>
      </c>
      <c r="T24" s="8">
        <v>46176.701997905089</v>
      </c>
    </row>
    <row r="25" spans="1:20" x14ac:dyDescent="0.3">
      <c r="A25" t="s">
        <v>100</v>
      </c>
      <c r="B25" t="s">
        <v>57</v>
      </c>
      <c r="C25" t="s">
        <v>86</v>
      </c>
      <c r="D25">
        <v>227100000000.09113</v>
      </c>
      <c r="E25" t="s">
        <v>54</v>
      </c>
      <c r="F25" t="s">
        <v>55</v>
      </c>
      <c r="G25" t="s">
        <v>38</v>
      </c>
      <c r="H25">
        <v>153105</v>
      </c>
      <c r="I25">
        <v>2053283694196793</v>
      </c>
      <c r="J25" t="b">
        <v>1</v>
      </c>
      <c r="K25">
        <v>699999999999999</v>
      </c>
      <c r="L25">
        <v>6</v>
      </c>
      <c r="M25">
        <v>1</v>
      </c>
      <c r="N25">
        <v>3.8961980863192101</v>
      </c>
      <c r="O25">
        <v>1.2833023088729956E+16</v>
      </c>
      <c r="P25">
        <v>1.2502780948351506E+16</v>
      </c>
      <c r="Q25">
        <v>-1</v>
      </c>
      <c r="R25">
        <v>-1</v>
      </c>
      <c r="S25" s="8">
        <v>46176.70199814815</v>
      </c>
      <c r="T25" s="8">
        <v>46176.701998171295</v>
      </c>
    </row>
    <row r="26" spans="1:20" x14ac:dyDescent="0.3">
      <c r="A26" t="s">
        <v>101</v>
      </c>
      <c r="B26" t="s">
        <v>57</v>
      </c>
      <c r="C26" t="s">
        <v>68</v>
      </c>
      <c r="D26">
        <v>5822000000.0025473</v>
      </c>
      <c r="E26" t="s">
        <v>43</v>
      </c>
      <c r="F26" t="s">
        <v>40</v>
      </c>
      <c r="G26" t="s">
        <v>38</v>
      </c>
      <c r="H26">
        <v>114443</v>
      </c>
      <c r="I26">
        <v>2.7469395244794352E+16</v>
      </c>
      <c r="J26" t="b">
        <v>1</v>
      </c>
      <c r="K26">
        <v>94661795</v>
      </c>
      <c r="L26">
        <v>7377131</v>
      </c>
      <c r="M26">
        <v>1</v>
      </c>
      <c r="N26">
        <v>2.9123320439739402</v>
      </c>
      <c r="O26">
        <v>1716837202799647</v>
      </c>
      <c r="P26">
        <v>1.6726564989535028E+16</v>
      </c>
      <c r="Q26">
        <v>-1</v>
      </c>
      <c r="R26">
        <v>-1</v>
      </c>
      <c r="S26" s="8">
        <v>46176.701996331016</v>
      </c>
      <c r="T26" s="8">
        <v>46176.701996354168</v>
      </c>
    </row>
    <row r="27" spans="1:20" x14ac:dyDescent="0.3">
      <c r="A27" t="s">
        <v>102</v>
      </c>
      <c r="B27" t="s">
        <v>57</v>
      </c>
      <c r="C27" t="s">
        <v>70</v>
      </c>
      <c r="D27">
        <v>7981000000.0041237</v>
      </c>
      <c r="E27" t="s">
        <v>45</v>
      </c>
      <c r="F27" t="s">
        <v>40</v>
      </c>
      <c r="G27" t="s">
        <v>38</v>
      </c>
      <c r="H27">
        <v>102576</v>
      </c>
      <c r="I27">
        <v>3.0647324910310404E+16</v>
      </c>
      <c r="J27" t="b">
        <v>1</v>
      </c>
      <c r="K27">
        <v>404169219</v>
      </c>
      <c r="L27">
        <v>26998407</v>
      </c>
      <c r="M27">
        <v>1</v>
      </c>
      <c r="N27">
        <v>2.6103420195439702</v>
      </c>
      <c r="O27">
        <v>19154578068944</v>
      </c>
      <c r="P27">
        <v>1.8661658449319112E+16</v>
      </c>
      <c r="Q27">
        <v>-1</v>
      </c>
      <c r="R27">
        <v>-1</v>
      </c>
      <c r="S27" s="8">
        <v>46176.702001215279</v>
      </c>
      <c r="T27" s="8">
        <v>46176.702001226855</v>
      </c>
    </row>
    <row r="28" spans="1:20" x14ac:dyDescent="0.3">
      <c r="A28" t="s">
        <v>103</v>
      </c>
      <c r="B28" t="s">
        <v>57</v>
      </c>
      <c r="C28" t="s">
        <v>56</v>
      </c>
      <c r="D28">
        <v>51429999999.991203</v>
      </c>
      <c r="E28" t="s">
        <v>56</v>
      </c>
      <c r="F28" t="s">
        <v>52</v>
      </c>
      <c r="G28" t="s">
        <v>38</v>
      </c>
      <c r="H28">
        <v>314368</v>
      </c>
      <c r="I28">
        <v>10</v>
      </c>
      <c r="J28" t="b">
        <v>1</v>
      </c>
      <c r="K28">
        <v>8627805</v>
      </c>
      <c r="L28">
        <v>450604</v>
      </c>
      <c r="M28">
        <v>1</v>
      </c>
      <c r="N28">
        <v>8</v>
      </c>
      <c r="O28">
        <v>625</v>
      </c>
      <c r="P28">
        <v>608916390057944</v>
      </c>
      <c r="Q28">
        <v>-1</v>
      </c>
      <c r="R28">
        <v>-1</v>
      </c>
      <c r="S28" s="8">
        <v>46176.701996701391</v>
      </c>
      <c r="T28" s="8">
        <v>46176.70199671296</v>
      </c>
    </row>
    <row r="29" spans="1:20" x14ac:dyDescent="0.3">
      <c r="A29" t="s">
        <v>104</v>
      </c>
      <c r="B29" t="s">
        <v>58</v>
      </c>
      <c r="C29" t="s">
        <v>81</v>
      </c>
      <c r="D29">
        <v>241890000000.07788</v>
      </c>
      <c r="E29" t="s">
        <v>51</v>
      </c>
      <c r="F29" t="s">
        <v>52</v>
      </c>
      <c r="G29" t="s">
        <v>38</v>
      </c>
      <c r="H29">
        <v>108859</v>
      </c>
      <c r="I29">
        <v>2887845745413792</v>
      </c>
      <c r="J29" t="b">
        <v>1</v>
      </c>
      <c r="K29">
        <v>13</v>
      </c>
      <c r="L29">
        <v>26</v>
      </c>
      <c r="M29">
        <v>1</v>
      </c>
      <c r="N29">
        <v>2.7702310667752399</v>
      </c>
      <c r="O29">
        <v>1443922872706896</v>
      </c>
      <c r="P29">
        <v>9905696479128274</v>
      </c>
      <c r="Q29">
        <v>-1</v>
      </c>
      <c r="R29">
        <v>-1</v>
      </c>
      <c r="S29" s="8">
        <v>46176.702012696762</v>
      </c>
      <c r="T29" s="8">
        <v>46176.702012708331</v>
      </c>
    </row>
    <row r="30" spans="1:20" x14ac:dyDescent="0.3">
      <c r="A30" t="s">
        <v>105</v>
      </c>
      <c r="B30" t="s">
        <v>58</v>
      </c>
      <c r="C30" t="s">
        <v>66</v>
      </c>
      <c r="D30">
        <v>1683900000.0004599</v>
      </c>
      <c r="E30" t="s">
        <v>39</v>
      </c>
      <c r="F30" t="s">
        <v>40</v>
      </c>
      <c r="G30" t="s">
        <v>38</v>
      </c>
      <c r="H30">
        <v>33691</v>
      </c>
      <c r="I30">
        <v>9330919236591374</v>
      </c>
      <c r="J30" t="b">
        <v>1</v>
      </c>
      <c r="K30">
        <v>80904801</v>
      </c>
      <c r="L30">
        <v>41127789</v>
      </c>
      <c r="M30">
        <v>1</v>
      </c>
      <c r="N30">
        <v>0.85736461726384305</v>
      </c>
      <c r="O30">
        <v>4665459618295687</v>
      </c>
      <c r="P30">
        <v>3200629880447077</v>
      </c>
      <c r="Q30">
        <v>-1</v>
      </c>
      <c r="R30">
        <v>-1</v>
      </c>
      <c r="S30" s="8">
        <v>46176.701999050929</v>
      </c>
      <c r="T30" s="8">
        <v>46176.701999074074</v>
      </c>
    </row>
    <row r="31" spans="1:20" x14ac:dyDescent="0.3">
      <c r="A31" t="s">
        <v>106</v>
      </c>
      <c r="B31" t="s">
        <v>58</v>
      </c>
      <c r="C31" t="s">
        <v>84</v>
      </c>
      <c r="D31">
        <v>889600000.00082302</v>
      </c>
      <c r="E31" t="s">
        <v>53</v>
      </c>
      <c r="F31" t="s">
        <v>52</v>
      </c>
      <c r="G31" t="s">
        <v>38</v>
      </c>
      <c r="H31">
        <v>110387</v>
      </c>
      <c r="I31">
        <v>284787157908087</v>
      </c>
      <c r="J31" t="b">
        <v>1</v>
      </c>
      <c r="K31">
        <v>5</v>
      </c>
      <c r="L31">
        <v>7</v>
      </c>
      <c r="M31">
        <v>1</v>
      </c>
      <c r="N31">
        <v>2.8091154315960898</v>
      </c>
      <c r="O31">
        <v>1423935789540435</v>
      </c>
      <c r="P31">
        <v>9768579751432912</v>
      </c>
      <c r="Q31">
        <v>-1</v>
      </c>
      <c r="R31">
        <v>-1</v>
      </c>
      <c r="S31" s="8">
        <v>46176.702001770835</v>
      </c>
      <c r="T31" s="8">
        <v>46176.702001782411</v>
      </c>
    </row>
    <row r="32" spans="1:20" x14ac:dyDescent="0.3">
      <c r="A32" t="s">
        <v>107</v>
      </c>
      <c r="B32" t="s">
        <v>58</v>
      </c>
      <c r="C32" t="s">
        <v>86</v>
      </c>
      <c r="D32">
        <v>5872000000.0039854</v>
      </c>
      <c r="E32" t="s">
        <v>54</v>
      </c>
      <c r="F32" t="s">
        <v>55</v>
      </c>
      <c r="G32" t="s">
        <v>38</v>
      </c>
      <c r="H32">
        <v>35801</v>
      </c>
      <c r="I32">
        <v>8780983771403033</v>
      </c>
      <c r="J32" t="b">
        <v>1</v>
      </c>
      <c r="K32">
        <v>4</v>
      </c>
      <c r="L32">
        <v>3</v>
      </c>
      <c r="M32">
        <v>1</v>
      </c>
      <c r="N32">
        <v>0.91105964983713295</v>
      </c>
      <c r="O32">
        <v>4.3904918857015168E+16</v>
      </c>
      <c r="P32">
        <v>3011994673392991</v>
      </c>
      <c r="Q32">
        <v>-1</v>
      </c>
      <c r="R32">
        <v>-1</v>
      </c>
      <c r="S32" s="8">
        <v>46176.702003009261</v>
      </c>
      <c r="T32" s="8">
        <v>46176.702003032406</v>
      </c>
    </row>
    <row r="33" spans="1:20" x14ac:dyDescent="0.3">
      <c r="A33" t="s">
        <v>108</v>
      </c>
      <c r="B33" t="s">
        <v>58</v>
      </c>
      <c r="C33" t="s">
        <v>68</v>
      </c>
      <c r="D33">
        <v>35883000000.000443</v>
      </c>
      <c r="E33" t="s">
        <v>43</v>
      </c>
      <c r="F33" t="s">
        <v>40</v>
      </c>
      <c r="G33" t="s">
        <v>38</v>
      </c>
      <c r="H33">
        <v>39311</v>
      </c>
      <c r="I33">
        <v>7996947419297397</v>
      </c>
      <c r="J33" t="b">
        <v>1</v>
      </c>
      <c r="K33">
        <v>121501603</v>
      </c>
      <c r="L33">
        <v>15368453</v>
      </c>
      <c r="M33">
        <v>1</v>
      </c>
      <c r="N33">
        <v>1.0003817182410399</v>
      </c>
      <c r="O33">
        <v>3998473709648698</v>
      </c>
      <c r="P33">
        <v>2743059736515033</v>
      </c>
      <c r="Q33">
        <v>-1</v>
      </c>
      <c r="R33">
        <v>-1</v>
      </c>
      <c r="S33" s="8">
        <v>46176.702001944446</v>
      </c>
      <c r="T33" s="8">
        <v>46176.702001967591</v>
      </c>
    </row>
    <row r="34" spans="1:20" x14ac:dyDescent="0.3">
      <c r="A34" t="s">
        <v>109</v>
      </c>
      <c r="B34" t="s">
        <v>58</v>
      </c>
      <c r="C34" t="s">
        <v>70</v>
      </c>
      <c r="D34">
        <v>5648999999.9964619</v>
      </c>
      <c r="E34" t="s">
        <v>45</v>
      </c>
      <c r="F34" t="s">
        <v>40</v>
      </c>
      <c r="G34" t="s">
        <v>38</v>
      </c>
      <c r="H34">
        <v>29496</v>
      </c>
      <c r="I34">
        <v>1.0657987523732032E+16</v>
      </c>
      <c r="J34" t="b">
        <v>1</v>
      </c>
      <c r="K34">
        <v>417014593</v>
      </c>
      <c r="L34">
        <v>13494527</v>
      </c>
      <c r="M34">
        <v>1</v>
      </c>
      <c r="N34">
        <v>0.75061074918566695</v>
      </c>
      <c r="O34">
        <v>5328993761866016</v>
      </c>
      <c r="P34">
        <v>3.6558320213636584E+16</v>
      </c>
      <c r="Q34">
        <v>-1</v>
      </c>
      <c r="R34">
        <v>-1</v>
      </c>
      <c r="S34" s="8">
        <v>46176.702007627318</v>
      </c>
      <c r="T34" s="8">
        <v>46176.702007638887</v>
      </c>
    </row>
    <row r="35" spans="1:20" x14ac:dyDescent="0.3">
      <c r="A35" t="s">
        <v>110</v>
      </c>
      <c r="B35" t="s">
        <v>58</v>
      </c>
      <c r="C35" t="s">
        <v>56</v>
      </c>
      <c r="D35">
        <v>3998999999.9906492</v>
      </c>
      <c r="E35" t="s">
        <v>56</v>
      </c>
      <c r="F35" t="s">
        <v>52</v>
      </c>
      <c r="G35" t="s">
        <v>38</v>
      </c>
      <c r="H35">
        <v>314368</v>
      </c>
      <c r="I35">
        <v>10</v>
      </c>
      <c r="J35" t="b">
        <v>1</v>
      </c>
      <c r="K35">
        <v>16852923</v>
      </c>
      <c r="L35">
        <v>1440329</v>
      </c>
      <c r="M35">
        <v>1</v>
      </c>
      <c r="N35">
        <v>8</v>
      </c>
      <c r="O35">
        <v>5</v>
      </c>
      <c r="P35">
        <v>3430133515565912</v>
      </c>
      <c r="Q35">
        <v>-1</v>
      </c>
      <c r="R35">
        <v>-1</v>
      </c>
      <c r="S35" s="8">
        <v>46176.702003437502</v>
      </c>
      <c r="T35" s="8">
        <v>46176.702003449071</v>
      </c>
    </row>
    <row r="36" spans="1:20" x14ac:dyDescent="0.3">
      <c r="A36" t="s">
        <v>111</v>
      </c>
      <c r="B36" t="s">
        <v>59</v>
      </c>
      <c r="C36" t="s">
        <v>81</v>
      </c>
      <c r="D36">
        <v>200330000000.02631</v>
      </c>
      <c r="E36" t="s">
        <v>51</v>
      </c>
      <c r="F36" t="s">
        <v>52</v>
      </c>
      <c r="G36" t="s">
        <v>38</v>
      </c>
      <c r="H36">
        <v>84216</v>
      </c>
      <c r="I36">
        <v>3732877362971407</v>
      </c>
      <c r="J36" t="b">
        <v>1</v>
      </c>
      <c r="K36">
        <v>13</v>
      </c>
      <c r="L36">
        <v>24</v>
      </c>
      <c r="M36">
        <v>1</v>
      </c>
      <c r="N36">
        <v>2.1431188925081401</v>
      </c>
      <c r="O36">
        <v>1.3998290111142776E+16</v>
      </c>
      <c r="P36">
        <v>9878093830146596</v>
      </c>
      <c r="Q36">
        <v>-1</v>
      </c>
      <c r="R36">
        <v>-1</v>
      </c>
      <c r="S36" s="8">
        <v>46176.702010439818</v>
      </c>
      <c r="T36" s="8">
        <v>46176.702010451387</v>
      </c>
    </row>
    <row r="37" spans="1:20" x14ac:dyDescent="0.3">
      <c r="A37" t="s">
        <v>112</v>
      </c>
      <c r="B37" t="s">
        <v>59</v>
      </c>
      <c r="C37" t="s">
        <v>66</v>
      </c>
      <c r="D37">
        <v>4402999999.9861679</v>
      </c>
      <c r="E37" t="s">
        <v>39</v>
      </c>
      <c r="F37" t="s">
        <v>40</v>
      </c>
      <c r="G37" t="s">
        <v>38</v>
      </c>
      <c r="H37">
        <v>22474</v>
      </c>
      <c r="I37">
        <v>1398807510901486</v>
      </c>
      <c r="J37" t="b">
        <v>1</v>
      </c>
      <c r="K37">
        <v>2996353</v>
      </c>
      <c r="L37">
        <v>17742901</v>
      </c>
      <c r="M37">
        <v>1</v>
      </c>
      <c r="N37">
        <v>0.57191571661237695</v>
      </c>
      <c r="O37">
        <v>5.2455281658805736E+16</v>
      </c>
      <c r="P37">
        <v>370158205036765</v>
      </c>
      <c r="Q37">
        <v>-1</v>
      </c>
      <c r="R37">
        <v>-1</v>
      </c>
      <c r="S37" s="8">
        <v>46176.70200582176</v>
      </c>
      <c r="T37" s="8">
        <v>46176.702005844905</v>
      </c>
    </row>
    <row r="38" spans="1:20" x14ac:dyDescent="0.3">
      <c r="A38" t="s">
        <v>113</v>
      </c>
      <c r="B38" t="s">
        <v>59</v>
      </c>
      <c r="C38" t="s">
        <v>84</v>
      </c>
      <c r="D38">
        <v>5696999999.9989529</v>
      </c>
      <c r="E38" t="s">
        <v>53</v>
      </c>
      <c r="F38" t="s">
        <v>52</v>
      </c>
      <c r="G38" t="s">
        <v>38</v>
      </c>
      <c r="H38">
        <v>85391</v>
      </c>
      <c r="I38">
        <v>3681512103149044</v>
      </c>
      <c r="J38" t="b">
        <v>1</v>
      </c>
      <c r="K38">
        <v>4</v>
      </c>
      <c r="L38">
        <v>5</v>
      </c>
      <c r="M38">
        <v>1</v>
      </c>
      <c r="N38">
        <v>2.1730201547231198</v>
      </c>
      <c r="O38">
        <v>1.3805670386808916E+16</v>
      </c>
      <c r="P38">
        <v>9742168963937954</v>
      </c>
      <c r="Q38">
        <v>-1</v>
      </c>
      <c r="R38">
        <v>-1</v>
      </c>
      <c r="S38" s="8">
        <v>46176.702010763889</v>
      </c>
      <c r="T38" s="8">
        <v>46176.702010775465</v>
      </c>
    </row>
    <row r="39" spans="1:20" x14ac:dyDescent="0.3">
      <c r="A39" t="s">
        <v>114</v>
      </c>
      <c r="B39" t="s">
        <v>59</v>
      </c>
      <c r="C39" t="s">
        <v>86</v>
      </c>
      <c r="D39">
        <v>59399999999.959488</v>
      </c>
      <c r="E39" t="s">
        <v>54</v>
      </c>
      <c r="F39" t="s">
        <v>55</v>
      </c>
      <c r="G39" t="s">
        <v>38</v>
      </c>
      <c r="H39">
        <v>23104</v>
      </c>
      <c r="I39">
        <v>1.3606648199445984E+16</v>
      </c>
      <c r="J39" t="b">
        <v>1</v>
      </c>
      <c r="K39">
        <v>2</v>
      </c>
      <c r="L39">
        <v>2</v>
      </c>
      <c r="M39">
        <v>1</v>
      </c>
      <c r="N39">
        <v>0.58794788273615595</v>
      </c>
      <c r="O39">
        <v>5102493074792244</v>
      </c>
      <c r="P39">
        <v>3600647290510846</v>
      </c>
      <c r="Q39">
        <v>-1</v>
      </c>
      <c r="R39">
        <v>-1</v>
      </c>
      <c r="S39" s="8">
        <v>46176.702009398148</v>
      </c>
      <c r="T39" s="8">
        <v>46176.702009421293</v>
      </c>
    </row>
    <row r="40" spans="1:20" x14ac:dyDescent="0.3">
      <c r="A40" t="s">
        <v>115</v>
      </c>
      <c r="B40" t="s">
        <v>59</v>
      </c>
      <c r="C40" t="s">
        <v>68</v>
      </c>
      <c r="D40">
        <v>413900000000.30011</v>
      </c>
      <c r="E40" t="s">
        <v>43</v>
      </c>
      <c r="F40" t="s">
        <v>40</v>
      </c>
      <c r="G40" t="s">
        <v>38</v>
      </c>
      <c r="H40">
        <v>26416</v>
      </c>
      <c r="I40">
        <v>1.1900666262870988E+16</v>
      </c>
      <c r="J40" t="b">
        <v>1</v>
      </c>
      <c r="K40">
        <v>2751253</v>
      </c>
      <c r="L40">
        <v>1602561</v>
      </c>
      <c r="M40">
        <v>1</v>
      </c>
      <c r="N40">
        <v>0.67223127035830599</v>
      </c>
      <c r="O40">
        <v>446274984857662</v>
      </c>
      <c r="P40">
        <v>3.1492033237417696E+16</v>
      </c>
      <c r="Q40">
        <v>-1</v>
      </c>
      <c r="R40">
        <v>-1</v>
      </c>
      <c r="S40" s="8">
        <v>46176.702008506945</v>
      </c>
      <c r="T40" s="8">
        <v>46176.702008518521</v>
      </c>
    </row>
    <row r="41" spans="1:20" x14ac:dyDescent="0.3">
      <c r="A41" t="s">
        <v>116</v>
      </c>
      <c r="B41" t="s">
        <v>59</v>
      </c>
      <c r="C41" t="s">
        <v>70</v>
      </c>
      <c r="D41">
        <v>6328999999.9993629</v>
      </c>
      <c r="E41" t="s">
        <v>45</v>
      </c>
      <c r="F41" t="s">
        <v>40</v>
      </c>
      <c r="G41" t="s">
        <v>38</v>
      </c>
      <c r="H41">
        <v>18864</v>
      </c>
      <c r="I41">
        <v>1.6664970313825276E+16</v>
      </c>
      <c r="J41" t="b">
        <v>1</v>
      </c>
      <c r="K41">
        <v>441215102</v>
      </c>
      <c r="L41">
        <v>2978348</v>
      </c>
      <c r="M41">
        <v>1</v>
      </c>
      <c r="N41">
        <v>0.48004885993485302</v>
      </c>
      <c r="O41">
        <v>6249363867684479</v>
      </c>
      <c r="P41">
        <v>4409953085239747</v>
      </c>
      <c r="Q41">
        <v>-1</v>
      </c>
      <c r="R41">
        <v>-1</v>
      </c>
      <c r="S41" s="8">
        <v>46176.702014328701</v>
      </c>
      <c r="T41" s="8">
        <v>46176.702014340277</v>
      </c>
    </row>
    <row r="42" spans="1:20" x14ac:dyDescent="0.3">
      <c r="A42" t="s">
        <v>117</v>
      </c>
      <c r="B42" t="s">
        <v>59</v>
      </c>
      <c r="C42" t="s">
        <v>56</v>
      </c>
      <c r="D42">
        <v>5179000000.0218048</v>
      </c>
      <c r="E42" t="s">
        <v>56</v>
      </c>
      <c r="F42" t="s">
        <v>52</v>
      </c>
      <c r="G42" t="s">
        <v>38</v>
      </c>
      <c r="H42">
        <v>314368</v>
      </c>
      <c r="I42">
        <v>10</v>
      </c>
      <c r="J42" t="b">
        <v>1</v>
      </c>
      <c r="K42">
        <v>20563254</v>
      </c>
      <c r="L42">
        <v>410755</v>
      </c>
      <c r="M42">
        <v>1</v>
      </c>
      <c r="N42">
        <v>8</v>
      </c>
      <c r="O42">
        <v>375</v>
      </c>
      <c r="P42">
        <v>2646241188669412</v>
      </c>
      <c r="Q42">
        <v>-1</v>
      </c>
      <c r="R42">
        <v>-1</v>
      </c>
      <c r="S42" s="8">
        <v>46176.702010069443</v>
      </c>
      <c r="T42" s="8">
        <v>46176.702010092595</v>
      </c>
    </row>
    <row r="43" spans="1:20" x14ac:dyDescent="0.3">
      <c r="A43" t="s">
        <v>118</v>
      </c>
      <c r="B43" t="s">
        <v>50</v>
      </c>
      <c r="C43" t="s">
        <v>119</v>
      </c>
      <c r="D43">
        <v>1.3702589999999988E+16</v>
      </c>
      <c r="E43" t="s">
        <v>60</v>
      </c>
      <c r="F43" t="s">
        <v>61</v>
      </c>
      <c r="G43" t="s">
        <v>38</v>
      </c>
      <c r="H43">
        <v>44769</v>
      </c>
      <c r="I43">
        <v>7022001831624562</v>
      </c>
      <c r="J43" t="b">
        <v>1</v>
      </c>
      <c r="K43">
        <v>0</v>
      </c>
      <c r="L43">
        <v>0</v>
      </c>
      <c r="M43">
        <v>1</v>
      </c>
      <c r="N43">
        <v>1.1392762622149799</v>
      </c>
      <c r="O43">
        <v>1.7555004579061404E+16</v>
      </c>
      <c r="P43">
        <v>1.3515389332879516E+16</v>
      </c>
      <c r="Q43">
        <v>-1</v>
      </c>
      <c r="R43">
        <v>-1</v>
      </c>
      <c r="S43" s="8">
        <v>46176.733891238429</v>
      </c>
      <c r="T43" s="8">
        <v>46176.733891736112</v>
      </c>
    </row>
    <row r="44" spans="1:20" x14ac:dyDescent="0.3">
      <c r="A44" t="s">
        <v>120</v>
      </c>
      <c r="B44" t="s">
        <v>47</v>
      </c>
      <c r="C44" t="s">
        <v>119</v>
      </c>
      <c r="D44">
        <v>2.4267599999999724E+16</v>
      </c>
      <c r="E44" t="s">
        <v>60</v>
      </c>
      <c r="F44" t="s">
        <v>61</v>
      </c>
      <c r="G44" t="s">
        <v>38</v>
      </c>
      <c r="H44">
        <v>148743</v>
      </c>
      <c r="I44">
        <v>2113497778046698</v>
      </c>
      <c r="J44" t="b">
        <v>1</v>
      </c>
      <c r="K44">
        <v>1</v>
      </c>
      <c r="L44">
        <v>1</v>
      </c>
      <c r="M44">
        <v>1</v>
      </c>
      <c r="N44">
        <v>3.7851944218240998</v>
      </c>
      <c r="O44">
        <v>1.3209361112791862E+16</v>
      </c>
      <c r="P44">
        <v>9785660883378876</v>
      </c>
      <c r="Q44">
        <v>-1</v>
      </c>
      <c r="R44">
        <v>-1</v>
      </c>
      <c r="S44" s="8">
        <v>46176.733895740741</v>
      </c>
      <c r="T44" s="8">
        <v>46176.733896180558</v>
      </c>
    </row>
    <row r="45" spans="1:20" x14ac:dyDescent="0.3">
      <c r="A45" t="s">
        <v>121</v>
      </c>
      <c r="B45" t="s">
        <v>57</v>
      </c>
      <c r="C45" t="s">
        <v>119</v>
      </c>
      <c r="D45">
        <v>1.1774099999997678E+16</v>
      </c>
      <c r="E45" t="s">
        <v>60</v>
      </c>
      <c r="F45" t="s">
        <v>61</v>
      </c>
      <c r="G45" t="s">
        <v>38</v>
      </c>
      <c r="H45">
        <v>253140</v>
      </c>
      <c r="I45">
        <v>1241874061783993</v>
      </c>
      <c r="J45" t="b">
        <v>1</v>
      </c>
      <c r="K45">
        <v>2</v>
      </c>
      <c r="L45">
        <v>2</v>
      </c>
      <c r="M45">
        <v>1</v>
      </c>
      <c r="N45">
        <v>6.4418770358306103</v>
      </c>
      <c r="O45">
        <v>7761712886149956</v>
      </c>
      <c r="P45">
        <v>756197470608105</v>
      </c>
      <c r="Q45">
        <v>-1</v>
      </c>
      <c r="R45">
        <v>-1</v>
      </c>
      <c r="S45" s="8">
        <v>46176.733896087964</v>
      </c>
      <c r="T45" s="8">
        <v>46176.733896851852</v>
      </c>
    </row>
    <row r="46" spans="1:20" x14ac:dyDescent="0.3">
      <c r="A46" t="s">
        <v>122</v>
      </c>
      <c r="B46" t="s">
        <v>58</v>
      </c>
      <c r="C46" t="s">
        <v>119</v>
      </c>
      <c r="D46">
        <v>83647000000.020004</v>
      </c>
      <c r="E46" t="s">
        <v>60</v>
      </c>
      <c r="F46" t="s">
        <v>61</v>
      </c>
      <c r="G46" t="s">
        <v>38</v>
      </c>
      <c r="H46">
        <v>96879</v>
      </c>
      <c r="I46">
        <v>3.2449550470174136E+16</v>
      </c>
      <c r="J46" t="b">
        <v>1</v>
      </c>
      <c r="K46">
        <v>1</v>
      </c>
      <c r="L46">
        <v>1</v>
      </c>
      <c r="M46">
        <v>1</v>
      </c>
      <c r="N46">
        <v>2.4653654315960898</v>
      </c>
      <c r="O46">
        <v>1.6224775235087068E+16</v>
      </c>
      <c r="P46">
        <v>1.1130629063279192E+16</v>
      </c>
      <c r="Q46">
        <v>-1</v>
      </c>
      <c r="R46">
        <v>-1</v>
      </c>
      <c r="S46" s="8">
        <v>46176.733897835649</v>
      </c>
      <c r="T46" s="8">
        <v>46176.733898344908</v>
      </c>
    </row>
    <row r="47" spans="1:20" x14ac:dyDescent="0.3">
      <c r="A47" t="s">
        <v>123</v>
      </c>
      <c r="B47" t="s">
        <v>59</v>
      </c>
      <c r="C47" t="s">
        <v>119</v>
      </c>
      <c r="D47">
        <v>1.5010499999998372E+16</v>
      </c>
      <c r="E47" t="s">
        <v>60</v>
      </c>
      <c r="F47" t="s">
        <v>61</v>
      </c>
      <c r="G47" t="s">
        <v>38</v>
      </c>
      <c r="H47">
        <v>67760</v>
      </c>
      <c r="I47">
        <v>4639433293978748</v>
      </c>
      <c r="J47" t="b">
        <v>1</v>
      </c>
      <c r="K47">
        <v>1</v>
      </c>
      <c r="L47">
        <v>0</v>
      </c>
      <c r="M47">
        <v>1</v>
      </c>
      <c r="N47">
        <v>1.72434853420195</v>
      </c>
      <c r="O47">
        <v>1.7397874852420308E+16</v>
      </c>
      <c r="P47">
        <v>1227705947461077</v>
      </c>
      <c r="Q47">
        <v>-1</v>
      </c>
      <c r="R47">
        <v>-1</v>
      </c>
      <c r="S47" s="8">
        <v>46176.733898275466</v>
      </c>
      <c r="T47" s="8">
        <v>46176.733899004626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E832-C680-49BF-B890-9BF41031A7FC}">
  <dimension ref="A1:L47"/>
  <sheetViews>
    <sheetView tabSelected="1" topLeftCell="B6" workbookViewId="0">
      <selection activeCell="M22" sqref="M22"/>
    </sheetView>
  </sheetViews>
  <sheetFormatPr baseColWidth="10" defaultRowHeight="14.4" x14ac:dyDescent="0.3"/>
  <cols>
    <col min="2" max="2" width="57.21875" bestFit="1" customWidth="1"/>
    <col min="4" max="4" width="18.6640625" bestFit="1" customWidth="1"/>
    <col min="5" max="5" width="17.109375" customWidth="1"/>
    <col min="6" max="6" width="13.77734375" bestFit="1" customWidth="1"/>
    <col min="7" max="7" width="10.6640625" bestFit="1" customWidth="1"/>
    <col min="9" max="9" width="20.44140625" customWidth="1"/>
    <col min="10" max="10" width="13.88671875" bestFit="1" customWidth="1"/>
    <col min="11" max="11" width="12" bestFit="1" customWidth="1"/>
  </cols>
  <sheetData>
    <row r="1" spans="1:12" x14ac:dyDescent="0.3">
      <c r="A1" t="s">
        <v>29</v>
      </c>
      <c r="B1" t="s">
        <v>19</v>
      </c>
    </row>
    <row r="2" spans="1:12" x14ac:dyDescent="0.3">
      <c r="A2">
        <v>1.39706331433224</v>
      </c>
      <c r="B2" t="s">
        <v>47</v>
      </c>
      <c r="D2" t="s">
        <v>133</v>
      </c>
      <c r="E2" t="s">
        <v>51</v>
      </c>
      <c r="F2" t="s">
        <v>39</v>
      </c>
      <c r="G2" t="s">
        <v>53</v>
      </c>
      <c r="H2" t="s">
        <v>54</v>
      </c>
      <c r="I2" t="s">
        <v>43</v>
      </c>
      <c r="J2" t="s">
        <v>45</v>
      </c>
      <c r="K2" t="s">
        <v>60</v>
      </c>
      <c r="L2" t="s">
        <v>134</v>
      </c>
    </row>
    <row r="3" spans="1:12" x14ac:dyDescent="0.3">
      <c r="A3">
        <v>1.39260993485342</v>
      </c>
      <c r="B3" t="s">
        <v>47</v>
      </c>
      <c r="D3" s="13">
        <v>4</v>
      </c>
      <c r="E3" s="9">
        <v>1.5659100162866399</v>
      </c>
      <c r="F3" s="9">
        <v>0.38907267915309401</v>
      </c>
      <c r="G3" s="9">
        <v>1.65016795602605</v>
      </c>
      <c r="H3" s="9">
        <v>0.355176099348534</v>
      </c>
      <c r="I3" s="9">
        <v>0.49709894136807797</v>
      </c>
      <c r="J3" s="9">
        <v>0.40472312703583002</v>
      </c>
      <c r="K3" s="9">
        <v>1.1392762622149799</v>
      </c>
      <c r="L3" s="9">
        <v>0.1831166021986971</v>
      </c>
    </row>
    <row r="4" spans="1:12" x14ac:dyDescent="0.3">
      <c r="A4">
        <v>1.1196050488599301</v>
      </c>
      <c r="B4" t="s">
        <v>47</v>
      </c>
      <c r="D4" s="13">
        <v>7</v>
      </c>
      <c r="E4" s="9">
        <v>2.1431188925081401</v>
      </c>
      <c r="F4" s="9">
        <v>0.57191571661237695</v>
      </c>
      <c r="G4" s="9">
        <v>2.1730201547231198</v>
      </c>
      <c r="H4" s="9">
        <v>0.58794788273615595</v>
      </c>
      <c r="I4" s="9">
        <v>0.67223127035830599</v>
      </c>
      <c r="J4" s="9">
        <v>0.48004885993485302</v>
      </c>
      <c r="K4" s="9">
        <v>1.72434853420195</v>
      </c>
      <c r="L4" s="9">
        <v>0.28453595785830621</v>
      </c>
    </row>
    <row r="5" spans="1:12" x14ac:dyDescent="0.3">
      <c r="A5">
        <v>1.3876221498371299</v>
      </c>
      <c r="B5" t="s">
        <v>47</v>
      </c>
      <c r="D5" s="13">
        <v>9</v>
      </c>
      <c r="E5" s="9">
        <v>2.7702310667752399</v>
      </c>
      <c r="F5" s="9">
        <v>0.85736461726384305</v>
      </c>
      <c r="G5" s="9">
        <v>2.8091154315960898</v>
      </c>
      <c r="H5" s="9">
        <v>0.91105964983713295</v>
      </c>
      <c r="I5" s="9">
        <v>1.0003817182410399</v>
      </c>
      <c r="J5" s="9">
        <v>0.75061074918566695</v>
      </c>
      <c r="K5" s="9">
        <v>2.4653654315960898</v>
      </c>
      <c r="L5" s="9">
        <v>0.49317678644136809</v>
      </c>
    </row>
    <row r="6" spans="1:12" x14ac:dyDescent="0.3">
      <c r="A6">
        <v>1.39703786644951</v>
      </c>
      <c r="B6" t="s">
        <v>47</v>
      </c>
      <c r="D6" s="13">
        <v>17</v>
      </c>
      <c r="E6" s="9">
        <v>3.7302015472312702</v>
      </c>
      <c r="F6" s="9">
        <v>1.39260993485342</v>
      </c>
      <c r="G6" s="9">
        <v>3.7611461726384299</v>
      </c>
      <c r="H6" s="9">
        <v>1.68811074918566</v>
      </c>
      <c r="I6" s="9">
        <v>1.5296722312703499</v>
      </c>
      <c r="J6" s="9">
        <v>1.1680578175895699</v>
      </c>
      <c r="K6" s="9">
        <v>3.7851944218240998</v>
      </c>
      <c r="L6" s="9">
        <v>0.92248574918566772</v>
      </c>
    </row>
    <row r="7" spans="1:12" x14ac:dyDescent="0.3">
      <c r="A7">
        <v>1.88866551302931</v>
      </c>
      <c r="B7" t="s">
        <v>47</v>
      </c>
      <c r="D7" s="13">
        <v>32</v>
      </c>
      <c r="E7" s="9">
        <v>4.8974704804560201</v>
      </c>
      <c r="F7" s="9">
        <v>2.6573442589576501</v>
      </c>
      <c r="G7" s="9">
        <v>4.9172180374592802</v>
      </c>
      <c r="H7" s="9">
        <v>3.8961980863192101</v>
      </c>
      <c r="I7" s="9">
        <v>2.9123320439739402</v>
      </c>
      <c r="J7" s="9">
        <v>2.6103420195439702</v>
      </c>
      <c r="K7" s="9">
        <v>6.4418770358306103</v>
      </c>
      <c r="L7" s="9">
        <v>2.4276198595276872</v>
      </c>
    </row>
    <row r="8" spans="1:12" x14ac:dyDescent="0.3">
      <c r="A8">
        <v>1.5659100162866399</v>
      </c>
      <c r="B8" t="s">
        <v>50</v>
      </c>
    </row>
    <row r="9" spans="1:12" x14ac:dyDescent="0.3">
      <c r="A9">
        <v>0.38907267915309401</v>
      </c>
      <c r="B9" t="s">
        <v>50</v>
      </c>
    </row>
    <row r="10" spans="1:12" x14ac:dyDescent="0.3">
      <c r="A10">
        <v>1.65016795602605</v>
      </c>
      <c r="B10" t="s">
        <v>50</v>
      </c>
      <c r="D10" s="24" t="s">
        <v>136</v>
      </c>
      <c r="E10" s="15" t="s">
        <v>135</v>
      </c>
      <c r="F10" s="15"/>
      <c r="G10" s="15"/>
      <c r="H10" s="15"/>
      <c r="I10" s="15"/>
    </row>
    <row r="11" spans="1:12" x14ac:dyDescent="0.3">
      <c r="A11">
        <v>0.355176099348534</v>
      </c>
      <c r="B11" t="s">
        <v>50</v>
      </c>
      <c r="D11" s="25"/>
      <c r="E11" s="16">
        <v>4</v>
      </c>
      <c r="F11" s="17">
        <v>7</v>
      </c>
      <c r="G11" s="16">
        <v>9</v>
      </c>
      <c r="H11" s="17">
        <v>17</v>
      </c>
      <c r="I11" s="16">
        <v>32</v>
      </c>
    </row>
    <row r="12" spans="1:12" x14ac:dyDescent="0.3">
      <c r="A12">
        <v>0.49709894136807797</v>
      </c>
      <c r="B12" t="s">
        <v>50</v>
      </c>
      <c r="D12" s="18" t="s">
        <v>51</v>
      </c>
      <c r="E12" s="19">
        <v>1.5659100162866399</v>
      </c>
      <c r="F12" s="20">
        <v>2.1431188925081401</v>
      </c>
      <c r="G12" s="19">
        <v>2.7702310667752399</v>
      </c>
      <c r="H12" s="20">
        <v>3.7302015472312702</v>
      </c>
      <c r="I12" s="19">
        <v>4.8974704804560201</v>
      </c>
    </row>
    <row r="13" spans="1:12" x14ac:dyDescent="0.3">
      <c r="A13">
        <v>0.40472312703583002</v>
      </c>
      <c r="B13" t="s">
        <v>50</v>
      </c>
      <c r="D13" s="18" t="s">
        <v>39</v>
      </c>
      <c r="E13" s="19">
        <v>0.38907267915309401</v>
      </c>
      <c r="F13" s="20">
        <v>0.57191571661237695</v>
      </c>
      <c r="G13" s="19">
        <v>0.85736461726384305</v>
      </c>
      <c r="H13" s="20">
        <v>1.39260993485342</v>
      </c>
      <c r="I13" s="19">
        <v>2.6573442589576501</v>
      </c>
    </row>
    <row r="14" spans="1:12" x14ac:dyDescent="0.3">
      <c r="A14">
        <v>8</v>
      </c>
      <c r="B14" t="s">
        <v>50</v>
      </c>
      <c r="D14" s="18" t="s">
        <v>53</v>
      </c>
      <c r="E14" s="19">
        <v>1.65016795602605</v>
      </c>
      <c r="F14" s="20">
        <v>2.1730201547231198</v>
      </c>
      <c r="G14" s="19">
        <v>2.8091154315960898</v>
      </c>
      <c r="H14" s="20">
        <v>3.7611461726384299</v>
      </c>
      <c r="I14" s="19">
        <v>4.9172180374592802</v>
      </c>
    </row>
    <row r="15" spans="1:12" x14ac:dyDescent="0.3">
      <c r="A15">
        <v>3.7302015472312702</v>
      </c>
      <c r="B15" t="s">
        <v>47</v>
      </c>
      <c r="D15" s="18" t="s">
        <v>54</v>
      </c>
      <c r="E15" s="19">
        <v>0.355176099348534</v>
      </c>
      <c r="F15" s="20">
        <v>0.58794788273615595</v>
      </c>
      <c r="G15" s="19">
        <v>0.91105964983713295</v>
      </c>
      <c r="H15" s="20">
        <v>1.68811074918566</v>
      </c>
      <c r="I15" s="19">
        <v>3.8961980863192101</v>
      </c>
    </row>
    <row r="16" spans="1:12" x14ac:dyDescent="0.3">
      <c r="A16">
        <v>1.39260993485342</v>
      </c>
      <c r="B16" t="s">
        <v>47</v>
      </c>
      <c r="D16" s="18" t="s">
        <v>43</v>
      </c>
      <c r="E16" s="19">
        <v>0.49709894136807797</v>
      </c>
      <c r="F16" s="20">
        <v>0.67223127035830599</v>
      </c>
      <c r="G16" s="19">
        <v>1.0003817182410399</v>
      </c>
      <c r="H16" s="20">
        <v>1.5296722312703499</v>
      </c>
      <c r="I16" s="19">
        <v>2.9123320439739402</v>
      </c>
    </row>
    <row r="17" spans="1:9" x14ac:dyDescent="0.3">
      <c r="A17">
        <v>3.7611461726384299</v>
      </c>
      <c r="B17" t="s">
        <v>47</v>
      </c>
      <c r="D17" s="18" t="s">
        <v>45</v>
      </c>
      <c r="E17" s="19">
        <v>0.40472312703583002</v>
      </c>
      <c r="F17" s="20">
        <v>0.48004885993485302</v>
      </c>
      <c r="G17" s="19">
        <v>0.75061074918566695</v>
      </c>
      <c r="H17" s="20">
        <v>1.1680578175895699</v>
      </c>
      <c r="I17" s="19">
        <v>2.6103420195439702</v>
      </c>
    </row>
    <row r="18" spans="1:9" x14ac:dyDescent="0.3">
      <c r="A18">
        <v>1.68811074918566</v>
      </c>
      <c r="B18" t="s">
        <v>47</v>
      </c>
      <c r="D18" s="18" t="s">
        <v>60</v>
      </c>
      <c r="E18" s="19">
        <v>1.1392762622149799</v>
      </c>
      <c r="F18" s="20">
        <v>1.72434853420195</v>
      </c>
      <c r="G18" s="19">
        <v>2.4653654315960898</v>
      </c>
      <c r="H18" s="20">
        <v>3.7851944218240998</v>
      </c>
      <c r="I18" s="19">
        <v>6.4418770358306103</v>
      </c>
    </row>
    <row r="19" spans="1:9" x14ac:dyDescent="0.3">
      <c r="A19">
        <v>1.5296722312703499</v>
      </c>
      <c r="B19" t="s">
        <v>47</v>
      </c>
      <c r="D19" s="23" t="s">
        <v>137</v>
      </c>
      <c r="E19" s="19">
        <v>0.17852815794651269</v>
      </c>
      <c r="F19" s="19">
        <v>0.27468339154962029</v>
      </c>
      <c r="G19" s="19">
        <v>0.45261248951094091</v>
      </c>
      <c r="H19" s="19">
        <v>0.83059848429823946</v>
      </c>
      <c r="I19" s="19">
        <v>2.3348842143826678</v>
      </c>
    </row>
    <row r="20" spans="1:9" x14ac:dyDescent="0.3">
      <c r="A20">
        <v>1.1680578175895699</v>
      </c>
      <c r="B20" t="s">
        <v>47</v>
      </c>
      <c r="D20" s="18" t="s">
        <v>134</v>
      </c>
      <c r="E20" s="21">
        <v>0.1831166021986971</v>
      </c>
      <c r="F20" s="22">
        <v>0.28453595785830621</v>
      </c>
      <c r="G20" s="21">
        <v>0.49317678644136809</v>
      </c>
      <c r="H20" s="22">
        <v>0.92248574918566772</v>
      </c>
      <c r="I20" s="21">
        <v>2.4276198595276872</v>
      </c>
    </row>
    <row r="21" spans="1:9" x14ac:dyDescent="0.3">
      <c r="A21">
        <v>8</v>
      </c>
      <c r="B21" t="s">
        <v>47</v>
      </c>
    </row>
    <row r="22" spans="1:9" x14ac:dyDescent="0.3">
      <c r="A22">
        <v>4.8974704804560201</v>
      </c>
      <c r="B22" t="s">
        <v>57</v>
      </c>
    </row>
    <row r="23" spans="1:9" x14ac:dyDescent="0.3">
      <c r="A23">
        <v>2.6573442589576501</v>
      </c>
      <c r="B23" t="s">
        <v>57</v>
      </c>
    </row>
    <row r="24" spans="1:9" x14ac:dyDescent="0.3">
      <c r="A24">
        <v>4.9172180374592802</v>
      </c>
      <c r="B24" t="s">
        <v>57</v>
      </c>
    </row>
    <row r="25" spans="1:9" x14ac:dyDescent="0.3">
      <c r="A25">
        <v>3.8961980863192101</v>
      </c>
      <c r="B25" t="s">
        <v>57</v>
      </c>
    </row>
    <row r="26" spans="1:9" x14ac:dyDescent="0.3">
      <c r="A26">
        <v>2.9123320439739402</v>
      </c>
      <c r="B26" t="s">
        <v>57</v>
      </c>
    </row>
    <row r="27" spans="1:9" x14ac:dyDescent="0.3">
      <c r="A27">
        <v>2.6103420195439702</v>
      </c>
      <c r="B27" t="s">
        <v>57</v>
      </c>
    </row>
    <row r="28" spans="1:9" x14ac:dyDescent="0.3">
      <c r="A28">
        <v>8</v>
      </c>
      <c r="B28" t="s">
        <v>57</v>
      </c>
    </row>
    <row r="29" spans="1:9" x14ac:dyDescent="0.3">
      <c r="A29">
        <v>2.7702310667752399</v>
      </c>
      <c r="B29" t="s">
        <v>58</v>
      </c>
    </row>
    <row r="30" spans="1:9" x14ac:dyDescent="0.3">
      <c r="A30">
        <v>0.85736461726384305</v>
      </c>
      <c r="B30" t="s">
        <v>58</v>
      </c>
    </row>
    <row r="31" spans="1:9" x14ac:dyDescent="0.3">
      <c r="A31">
        <v>2.8091154315960898</v>
      </c>
      <c r="B31" t="s">
        <v>58</v>
      </c>
    </row>
    <row r="32" spans="1:9" x14ac:dyDescent="0.3">
      <c r="A32">
        <v>0.91105964983713295</v>
      </c>
      <c r="B32" t="s">
        <v>58</v>
      </c>
    </row>
    <row r="33" spans="1:2" x14ac:dyDescent="0.3">
      <c r="A33">
        <v>1.0003817182410399</v>
      </c>
      <c r="B33" t="s">
        <v>58</v>
      </c>
    </row>
    <row r="34" spans="1:2" x14ac:dyDescent="0.3">
      <c r="A34">
        <v>0.75061074918566695</v>
      </c>
      <c r="B34" t="s">
        <v>58</v>
      </c>
    </row>
    <row r="35" spans="1:2" x14ac:dyDescent="0.3">
      <c r="A35">
        <v>8</v>
      </c>
      <c r="B35" t="s">
        <v>58</v>
      </c>
    </row>
    <row r="36" spans="1:2" x14ac:dyDescent="0.3">
      <c r="A36">
        <v>2.1431188925081401</v>
      </c>
      <c r="B36" t="s">
        <v>59</v>
      </c>
    </row>
    <row r="37" spans="1:2" x14ac:dyDescent="0.3">
      <c r="A37">
        <v>0.57191571661237695</v>
      </c>
      <c r="B37" t="s">
        <v>59</v>
      </c>
    </row>
    <row r="38" spans="1:2" x14ac:dyDescent="0.3">
      <c r="A38">
        <v>2.1730201547231198</v>
      </c>
      <c r="B38" t="s">
        <v>59</v>
      </c>
    </row>
    <row r="39" spans="1:2" x14ac:dyDescent="0.3">
      <c r="A39">
        <v>0.58794788273615595</v>
      </c>
      <c r="B39" t="s">
        <v>59</v>
      </c>
    </row>
    <row r="40" spans="1:2" x14ac:dyDescent="0.3">
      <c r="A40">
        <v>0.67223127035830599</v>
      </c>
      <c r="B40" t="s">
        <v>59</v>
      </c>
    </row>
    <row r="41" spans="1:2" x14ac:dyDescent="0.3">
      <c r="A41">
        <v>0.48004885993485302</v>
      </c>
      <c r="B41" t="s">
        <v>59</v>
      </c>
    </row>
    <row r="42" spans="1:2" x14ac:dyDescent="0.3">
      <c r="A42">
        <v>8</v>
      </c>
      <c r="B42" t="s">
        <v>59</v>
      </c>
    </row>
    <row r="43" spans="1:2" x14ac:dyDescent="0.3">
      <c r="A43">
        <v>1.1392762622149799</v>
      </c>
      <c r="B43" t="s">
        <v>50</v>
      </c>
    </row>
    <row r="44" spans="1:2" x14ac:dyDescent="0.3">
      <c r="A44">
        <v>3.7851944218240998</v>
      </c>
      <c r="B44" t="s">
        <v>47</v>
      </c>
    </row>
    <row r="45" spans="1:2" x14ac:dyDescent="0.3">
      <c r="A45">
        <v>6.4418770358306103</v>
      </c>
      <c r="B45" t="s">
        <v>57</v>
      </c>
    </row>
    <row r="46" spans="1:2" x14ac:dyDescent="0.3">
      <c r="A46">
        <v>2.4653654315960898</v>
      </c>
      <c r="B46" t="s">
        <v>58</v>
      </c>
    </row>
    <row r="47" spans="1:2" x14ac:dyDescent="0.3">
      <c r="A47">
        <v>1.72434853420195</v>
      </c>
      <c r="B47" t="s">
        <v>59</v>
      </c>
    </row>
  </sheetData>
  <mergeCells count="2">
    <mergeCell ref="E10:I10"/>
    <mergeCell ref="D10:D1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5219-4E3E-423B-BD4A-9A0A17460BFA}">
  <dimension ref="A3:P20"/>
  <sheetViews>
    <sheetView workbookViewId="0">
      <selection activeCell="B17" sqref="A15:P20"/>
    </sheetView>
  </sheetViews>
  <sheetFormatPr baseColWidth="10" defaultRowHeight="14.4" x14ac:dyDescent="0.3"/>
  <cols>
    <col min="1" max="1" width="35.21875" customWidth="1"/>
    <col min="2" max="2" width="21.44140625" bestFit="1" customWidth="1"/>
    <col min="3" max="7" width="12" bestFit="1" customWidth="1"/>
    <col min="8" max="10" width="18.6640625" bestFit="1" customWidth="1"/>
    <col min="11" max="11" width="11.6640625" bestFit="1" customWidth="1"/>
    <col min="12" max="13" width="12" bestFit="1" customWidth="1"/>
    <col min="14" max="14" width="16.77734375" bestFit="1" customWidth="1"/>
    <col min="15" max="16" width="12" bestFit="1" customWidth="1"/>
    <col min="17" max="17" width="37.109375" bestFit="1" customWidth="1"/>
    <col min="18" max="18" width="34.33203125" bestFit="1" customWidth="1"/>
    <col min="19" max="19" width="37.109375" bestFit="1" customWidth="1"/>
    <col min="20" max="20" width="27.6640625" bestFit="1" customWidth="1"/>
    <col min="21" max="21" width="30.44140625" bestFit="1" customWidth="1"/>
    <col min="22" max="22" width="27.6640625" bestFit="1" customWidth="1"/>
    <col min="23" max="23" width="30.44140625" bestFit="1" customWidth="1"/>
    <col min="24" max="24" width="27.6640625" bestFit="1" customWidth="1"/>
    <col min="25" max="25" width="30.44140625" bestFit="1" customWidth="1"/>
    <col min="26" max="26" width="18.77734375" bestFit="1" customWidth="1"/>
    <col min="27" max="27" width="21.5546875" bestFit="1" customWidth="1"/>
    <col min="28" max="28" width="25.5546875" bestFit="1" customWidth="1"/>
    <col min="29" max="29" width="28.33203125" bestFit="1" customWidth="1"/>
    <col min="30" max="30" width="11.88671875" bestFit="1" customWidth="1"/>
  </cols>
  <sheetData>
    <row r="3" spans="1:16" x14ac:dyDescent="0.3">
      <c r="A3" s="12" t="s">
        <v>132</v>
      </c>
      <c r="B3" s="12" t="s">
        <v>131</v>
      </c>
    </row>
    <row r="4" spans="1:16" x14ac:dyDescent="0.3">
      <c r="A4" s="12" t="s">
        <v>129</v>
      </c>
      <c r="B4" t="s">
        <v>51</v>
      </c>
      <c r="C4" t="s">
        <v>36</v>
      </c>
      <c r="D4" t="s">
        <v>39</v>
      </c>
      <c r="E4" t="s">
        <v>41</v>
      </c>
      <c r="F4" t="s">
        <v>53</v>
      </c>
      <c r="G4" t="s">
        <v>54</v>
      </c>
      <c r="H4" t="s">
        <v>49</v>
      </c>
      <c r="I4" t="s">
        <v>43</v>
      </c>
      <c r="J4" t="s">
        <v>48</v>
      </c>
      <c r="K4" t="s">
        <v>44</v>
      </c>
      <c r="L4" t="s">
        <v>45</v>
      </c>
      <c r="M4" t="s">
        <v>46</v>
      </c>
      <c r="N4" t="s">
        <v>56</v>
      </c>
      <c r="O4" t="s">
        <v>60</v>
      </c>
      <c r="P4" t="s">
        <v>130</v>
      </c>
    </row>
    <row r="5" spans="1:16" x14ac:dyDescent="0.3">
      <c r="A5" s="13" t="s">
        <v>50</v>
      </c>
      <c r="B5" s="14">
        <v>1.5659100162866399</v>
      </c>
      <c r="C5" s="14"/>
      <c r="D5" s="14">
        <v>0.38907267915309401</v>
      </c>
      <c r="E5" s="14"/>
      <c r="F5" s="14">
        <v>1.65016795602605</v>
      </c>
      <c r="G5" s="14">
        <v>0.355176099348534</v>
      </c>
      <c r="H5" s="14"/>
      <c r="I5" s="14">
        <v>0.49709894136807797</v>
      </c>
      <c r="J5" s="14"/>
      <c r="K5" s="14"/>
      <c r="L5" s="14">
        <v>0.40472312703583002</v>
      </c>
      <c r="M5" s="14"/>
      <c r="N5" s="14">
        <v>8</v>
      </c>
      <c r="O5" s="14">
        <v>1.1392762622149799</v>
      </c>
      <c r="P5" s="14">
        <v>14.001425081433204</v>
      </c>
    </row>
    <row r="6" spans="1:16" x14ac:dyDescent="0.3">
      <c r="A6" s="13" t="s">
        <v>47</v>
      </c>
      <c r="B6" s="14">
        <v>3.7302015472312702</v>
      </c>
      <c r="C6" s="14">
        <v>1.39706331433224</v>
      </c>
      <c r="D6" s="14">
        <v>1.39260993485342</v>
      </c>
      <c r="E6" s="14">
        <v>1.39260993485342</v>
      </c>
      <c r="F6" s="14">
        <v>3.7611461726384299</v>
      </c>
      <c r="G6" s="14">
        <v>1.68811074918566</v>
      </c>
      <c r="H6" s="14">
        <v>1.88866551302931</v>
      </c>
      <c r="I6" s="14">
        <v>1.5296722312703499</v>
      </c>
      <c r="J6" s="14">
        <v>1.39703786644951</v>
      </c>
      <c r="K6" s="14">
        <v>1.3876221498371299</v>
      </c>
      <c r="L6" s="14">
        <v>1.1680578175895699</v>
      </c>
      <c r="M6" s="14">
        <v>1.1196050488599301</v>
      </c>
      <c r="N6" s="14">
        <v>8</v>
      </c>
      <c r="O6" s="14">
        <v>3.7851944218240998</v>
      </c>
      <c r="P6" s="14">
        <v>33.637596701954337</v>
      </c>
    </row>
    <row r="7" spans="1:16" x14ac:dyDescent="0.3">
      <c r="A7" s="13" t="s">
        <v>57</v>
      </c>
      <c r="B7" s="14">
        <v>4.8974704804560201</v>
      </c>
      <c r="C7" s="14"/>
      <c r="D7" s="14">
        <v>2.6573442589576501</v>
      </c>
      <c r="E7" s="14"/>
      <c r="F7" s="14">
        <v>4.9172180374592802</v>
      </c>
      <c r="G7" s="14">
        <v>3.8961980863192101</v>
      </c>
      <c r="H7" s="14"/>
      <c r="I7" s="14">
        <v>2.9123320439739402</v>
      </c>
      <c r="J7" s="14"/>
      <c r="K7" s="14"/>
      <c r="L7" s="14">
        <v>2.6103420195439702</v>
      </c>
      <c r="M7" s="14"/>
      <c r="N7" s="14">
        <v>8</v>
      </c>
      <c r="O7" s="14">
        <v>6.4418770358306103</v>
      </c>
      <c r="P7" s="14">
        <v>36.332781962540679</v>
      </c>
    </row>
    <row r="8" spans="1:16" x14ac:dyDescent="0.3">
      <c r="A8" s="13" t="s">
        <v>58</v>
      </c>
      <c r="B8" s="14">
        <v>2.7702310667752399</v>
      </c>
      <c r="C8" s="14"/>
      <c r="D8" s="14">
        <v>0.85736461726384305</v>
      </c>
      <c r="E8" s="14"/>
      <c r="F8" s="14">
        <v>2.8091154315960898</v>
      </c>
      <c r="G8" s="14">
        <v>0.91105964983713295</v>
      </c>
      <c r="H8" s="14"/>
      <c r="I8" s="14">
        <v>1.0003817182410399</v>
      </c>
      <c r="J8" s="14"/>
      <c r="K8" s="14"/>
      <c r="L8" s="14">
        <v>0.75061074918566695</v>
      </c>
      <c r="M8" s="14"/>
      <c r="N8" s="14">
        <v>8</v>
      </c>
      <c r="O8" s="14">
        <v>2.4653654315960898</v>
      </c>
      <c r="P8" s="14">
        <v>19.564128664495101</v>
      </c>
    </row>
    <row r="9" spans="1:16" x14ac:dyDescent="0.3">
      <c r="A9" s="13" t="s">
        <v>59</v>
      </c>
      <c r="B9" s="14">
        <v>2.1431188925081401</v>
      </c>
      <c r="C9" s="14"/>
      <c r="D9" s="14">
        <v>0.57191571661237695</v>
      </c>
      <c r="E9" s="14"/>
      <c r="F9" s="14">
        <v>2.1730201547231198</v>
      </c>
      <c r="G9" s="14">
        <v>0.58794788273615595</v>
      </c>
      <c r="H9" s="14"/>
      <c r="I9" s="14">
        <v>0.67223127035830599</v>
      </c>
      <c r="J9" s="14"/>
      <c r="K9" s="14"/>
      <c r="L9" s="14">
        <v>0.48004885993485302</v>
      </c>
      <c r="M9" s="14"/>
      <c r="N9" s="14">
        <v>8</v>
      </c>
      <c r="O9" s="14">
        <v>1.72434853420195</v>
      </c>
      <c r="P9" s="14">
        <v>16.352631311074902</v>
      </c>
    </row>
    <row r="10" spans="1:16" x14ac:dyDescent="0.3">
      <c r="A10" s="13" t="s">
        <v>130</v>
      </c>
      <c r="B10" s="14">
        <v>15.10693200325731</v>
      </c>
      <c r="C10" s="14">
        <v>1.39706331433224</v>
      </c>
      <c r="D10" s="14">
        <v>5.8683072068403845</v>
      </c>
      <c r="E10" s="14">
        <v>1.39260993485342</v>
      </c>
      <c r="F10" s="14">
        <v>15.310667752442971</v>
      </c>
      <c r="G10" s="14">
        <v>7.438492467426693</v>
      </c>
      <c r="H10" s="14">
        <v>1.88866551302931</v>
      </c>
      <c r="I10" s="14">
        <v>6.6117162052117138</v>
      </c>
      <c r="J10" s="14">
        <v>1.39703786644951</v>
      </c>
      <c r="K10" s="14">
        <v>1.3876221498371299</v>
      </c>
      <c r="L10" s="14">
        <v>5.4137825732898905</v>
      </c>
      <c r="M10" s="14">
        <v>1.1196050488599301</v>
      </c>
      <c r="N10" s="14">
        <v>40</v>
      </c>
      <c r="O10" s="14">
        <v>15.55606168566773</v>
      </c>
      <c r="P10" s="14">
        <v>119.88856372149822</v>
      </c>
    </row>
    <row r="15" spans="1:16" x14ac:dyDescent="0.3">
      <c r="A15" s="12" t="s">
        <v>129</v>
      </c>
      <c r="B15" t="s">
        <v>51</v>
      </c>
      <c r="C15" t="s">
        <v>36</v>
      </c>
      <c r="D15" t="s">
        <v>39</v>
      </c>
      <c r="E15" t="s">
        <v>41</v>
      </c>
      <c r="F15" t="s">
        <v>53</v>
      </c>
      <c r="G15" t="s">
        <v>54</v>
      </c>
      <c r="H15" t="s">
        <v>49</v>
      </c>
      <c r="I15" t="s">
        <v>43</v>
      </c>
      <c r="J15" t="s">
        <v>48</v>
      </c>
      <c r="K15" t="s">
        <v>44</v>
      </c>
      <c r="L15" t="s">
        <v>45</v>
      </c>
      <c r="M15" t="s">
        <v>46</v>
      </c>
      <c r="N15" t="s">
        <v>56</v>
      </c>
      <c r="O15" t="s">
        <v>60</v>
      </c>
      <c r="P15" t="s">
        <v>130</v>
      </c>
    </row>
    <row r="16" spans="1:16" x14ac:dyDescent="0.3">
      <c r="A16" s="13">
        <v>4</v>
      </c>
      <c r="B16">
        <v>1.5659100162866399</v>
      </c>
      <c r="D16">
        <v>0.38907267915309401</v>
      </c>
      <c r="F16">
        <v>1.65016795602605</v>
      </c>
      <c r="G16">
        <v>0.355176099348534</v>
      </c>
      <c r="I16">
        <v>0.49709894136807797</v>
      </c>
      <c r="L16">
        <v>0.40472312703583002</v>
      </c>
      <c r="N16">
        <v>8</v>
      </c>
      <c r="O16">
        <v>1.1392762622149799</v>
      </c>
      <c r="P16">
        <v>14.001425081433204</v>
      </c>
    </row>
    <row r="17" spans="1:16" x14ac:dyDescent="0.3">
      <c r="A17" s="13">
        <v>17</v>
      </c>
      <c r="B17">
        <v>3.7302015472312702</v>
      </c>
      <c r="C17">
        <v>1.39706331433224</v>
      </c>
      <c r="D17">
        <v>1.39260993485342</v>
      </c>
      <c r="E17">
        <v>1.39260993485342</v>
      </c>
      <c r="F17">
        <v>3.7611461726384299</v>
      </c>
      <c r="G17">
        <v>1.68811074918566</v>
      </c>
      <c r="H17">
        <v>1.88866551302931</v>
      </c>
      <c r="I17">
        <v>1.5296722312703499</v>
      </c>
      <c r="J17">
        <v>1.39703786644951</v>
      </c>
      <c r="K17">
        <v>1.3876221498371299</v>
      </c>
      <c r="L17">
        <v>1.1680578175895699</v>
      </c>
      <c r="M17">
        <v>1.1196050488599301</v>
      </c>
      <c r="N17">
        <v>8</v>
      </c>
      <c r="O17">
        <v>3.7851944218240998</v>
      </c>
      <c r="P17">
        <v>33.637596701954337</v>
      </c>
    </row>
    <row r="18" spans="1:16" x14ac:dyDescent="0.3">
      <c r="A18" s="13">
        <v>32</v>
      </c>
      <c r="B18">
        <v>4.8974704804560201</v>
      </c>
      <c r="D18">
        <v>2.6573442589576501</v>
      </c>
      <c r="F18">
        <v>4.9172180374592802</v>
      </c>
      <c r="G18">
        <v>3.8961980863192101</v>
      </c>
      <c r="I18">
        <v>2.9123320439739402</v>
      </c>
      <c r="L18">
        <v>2.6103420195439702</v>
      </c>
      <c r="N18">
        <v>8</v>
      </c>
      <c r="O18">
        <v>6.4418770358306103</v>
      </c>
      <c r="P18">
        <v>36.332781962540679</v>
      </c>
    </row>
    <row r="19" spans="1:16" x14ac:dyDescent="0.3">
      <c r="A19" s="13">
        <v>9</v>
      </c>
      <c r="B19">
        <v>2.7702310667752399</v>
      </c>
      <c r="D19">
        <v>0.85736461726384305</v>
      </c>
      <c r="F19">
        <v>2.8091154315960898</v>
      </c>
      <c r="G19">
        <v>0.91105964983713295</v>
      </c>
      <c r="I19">
        <v>1.0003817182410399</v>
      </c>
      <c r="L19">
        <v>0.75061074918566695</v>
      </c>
      <c r="N19">
        <v>8</v>
      </c>
      <c r="O19">
        <v>2.4653654315960898</v>
      </c>
      <c r="P19">
        <v>19.564128664495101</v>
      </c>
    </row>
    <row r="20" spans="1:16" x14ac:dyDescent="0.3">
      <c r="A20" s="13">
        <v>7</v>
      </c>
      <c r="B20">
        <v>2.1431188925081401</v>
      </c>
      <c r="D20">
        <v>0.57191571661237695</v>
      </c>
      <c r="F20">
        <v>2.1730201547231198</v>
      </c>
      <c r="G20">
        <v>0.58794788273615595</v>
      </c>
      <c r="I20">
        <v>0.67223127035830599</v>
      </c>
      <c r="L20">
        <v>0.48004885993485302</v>
      </c>
      <c r="N20">
        <v>8</v>
      </c>
      <c r="O20">
        <v>1.72434853420195</v>
      </c>
      <c r="P20">
        <v>16.352631311074902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0834F7-B1F2-4916-8D62-4B8378E4AE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Hoja1</vt:lpstr>
      <vt:lpstr>persistence_LosslessExperiment </vt:lpstr>
      <vt:lpstr>Hoja4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Lariza Maholy Sandoval Cruz</cp:lastModifiedBy>
  <dcterms:created xsi:type="dcterms:W3CDTF">2026-06-03T14:39:55Z</dcterms:created>
  <dcterms:modified xsi:type="dcterms:W3CDTF">2026-06-16T20:28:10Z</dcterms:modified>
</cp:coreProperties>
</file>